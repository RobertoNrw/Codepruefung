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K:\Bereich 4 - Pflege\QM operativ\Umsetzung\Projekte\Orgamodell_Entwicklung_Implementierung\"/>
    </mc:Choice>
  </mc:AlternateContent>
  <xr:revisionPtr revIDLastSave="0" documentId="13_ncr:1_{F0B6D754-4909-4157-8460-362FB4857188}" xr6:coauthVersionLast="47" xr6:coauthVersionMax="47" xr10:uidLastSave="{00000000-0000-0000-0000-000000000000}"/>
  <bookViews>
    <workbookView xWindow="-120" yWindow="-120" windowWidth="51840" windowHeight="21240" firstSheet="1" activeTab="2" xr2:uid="{E6FC154E-7185-419E-997D-8E8BE54D2C0B}"/>
  </bookViews>
  <sheets>
    <sheet name="Anleitung" sheetId="3" r:id="rId1"/>
    <sheet name="Entscheidungssituationen" sheetId="1" r:id="rId2"/>
    <sheet name="Kommunikationsmatrix" sheetId="5" r:id="rId3"/>
    <sheet name="Tabelle1" sheetId="4" r:id="rId4"/>
    <sheet name="Abgleich Zusammenfassung" sheetId="6" r:id="rId50"/>
  </sheets>
  <definedNames>
    <definedName name="_xlnm.Print_Area" localSheetId="2">Kommunikationsmatrix!$A$1:$J$190</definedName>
    <definedName name="_xlnm.Print_Titles" localSheetId="1">Entscheidungssituationen!$1:$1</definedName>
    <definedName name="_xlnm.Print_Titles" localSheetId="2">Kommunikationsmatrix!$1:$1</definedName>
    <definedName name="TeilnehmerAuswahl">Tabelle1!$A$70:$A$87</definedName>
    <definedName name="TerminfrequenzAuswahl">Tabelle1!$A$92:$A$100</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tc={7B26DFA8-E456-44C9-B484-3AD4E1CEBAB5}</author>
    <author>tc={D6207F33-0ED6-400D-B6A3-414E270B9241}</author>
    <author>tc={129151FA-19CD-4D16-86B8-BD3EDC9D5C7E}</author>
    <author>tc={277BFDF0-CD81-4599-A43E-F39462AC8A09}</author>
    <author>tc={27CC0D1D-9EC4-41F1-9267-B3EB7430DEFF}</author>
    <author>tc={43916D02-6299-46F1-BE42-D4CCAC6F2BE0}</author>
    <author>tc={73FCB8D1-C12F-4EBC-BC0A-658B793ADEAC}</author>
    <author>tc={569ACDAF-44A9-4180-B67F-E5362636A0A6}</author>
    <author>tc={3A0C770F-2E85-40AB-8A8A-FF5BC0664806}</author>
    <author>tc={D5AF2DC1-8DD6-451C-83FE-AE285E4DACE1}</author>
    <author>tc={AD87B9D3-7D48-4AF4-BD26-2B55A70A3671}</author>
    <author>tc={2961545C-8DF4-4354-8193-E7A1D4FDE5C6}</author>
    <author>tc={571BE41F-3D09-4C12-AC95-67D978E62CFF}</author>
    <author>tc={2EBB48AA-F1F7-42B5-8BBD-64E0436F4EA7}</author>
    <author>tc={6B70549C-8C46-4B7D-B11F-EEE1EF10D096}</author>
    <author>tc={242EE66D-E65D-4B50-8B76-37DF9689A86B}</author>
    <author>tc={B3036DC9-5476-4A65-893A-033E66EA2578}</author>
    <author>tc={D98DDCF8-92D5-4F21-9051-C1E1DEEAF2A3}</author>
    <author>tc={93451156-B17A-490A-AB1B-74CED5B9D542}</author>
    <author>tc={08A31305-5108-41B7-AF33-C1E59DD7AAD6}</author>
    <author>tc={AA3E20E7-4D87-4FE5-8673-7BB890C34955}</author>
    <author>tc={0B66C97E-53AD-41B5-A9E2-2D90657847D8}</author>
    <author>tc={E1EABFBE-48C3-4F2F-8CE0-652B0502D2DC}</author>
    <author>tc={F0C23273-40C8-4BF0-8286-72D7251F2611}</author>
    <author>tc={820DC79C-8A42-4F57-9834-8D97E970B7CC}</author>
  </authors>
  <commentList>
    <comment ref="B8" authorId="0" shapeId="0" xr:uid="{7B26DFA8-E456-44C9-B484-3AD4E1CEBAB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Für den ambulanten Bereich muss dieses modifiziert werden
Antwort:
    BR sieht sich hier mitwirkend UND Entscheidend. Man kann nicht gleichzeitig in zwei unterschiedlichen Rollen beteiligt sein
Antwort:
    Mitwirkend nach Betriebsverfassungsgesetz (§ 99 BetrVG bei Einstellung/Versetzung) </t>
      </text>
    </comment>
    <comment ref="B14" authorId="1" shapeId="0" xr:uid="{D6207F33-0ED6-400D-B6A3-414E270B924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BR sieht sich hier mitwirkend UND Entscheidend. Man kann nicht gleichzeitig in zwei unterschiedlichen Rollen beteiligt sein
Antwort:
    Mitwirkend (§ 99 BetrVG) </t>
      </text>
    </comment>
    <comment ref="B20" authorId="2" shapeId="0" xr:uid="{129151FA-19CD-4D16-86B8-BD3EDC9D5C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Beratend; ggf. teilweise Mitbestimmung bei konkreter Umsetzung (§§ 92, 96–98 BetrVG) WA Beratend, sofern wirtschaftliche Auswirkungen 
Antwort:
    Stand:15.06., jetzt gerne mitwirkend</t>
      </text>
    </comment>
    <comment ref="B27" authorId="3" shapeId="0" xr:uid="{277BFDF0-CD81-4599-A43E-F39462AC8A0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sieht sich entscheidend in Bezug auf operative Personalentwicklung in Bezug auf die Referate
Antwort:
    Beratend bis Mitwirkend je nach Maßnahme 
Antwort:
    Stand 15.6.: mitwirkend UND beratend</t>
      </text>
    </comment>
    <comment ref="B35" authorId="4" shapeId="0" xr:uid="{27CC0D1D-9EC4-41F1-9267-B3EB7430DEF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bei Betriebsänderung ggf. deutlich stärkere Rechte (§§ 111 ff.) </t>
      </text>
    </comment>
    <comment ref="B40" authorId="5" shapeId="0" xr:uid="{43916D02-6299-46F1-BE42-D4CCAC6F2BE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meist Beratend, teilweise Mitbestimmend bei betrieblichen Bildungsmaßnahmen (§ 98 BetrVG) </t>
      </text>
    </comment>
    <comment ref="B46" authorId="6" shapeId="0" xr:uid="{73FCB8D1-C12F-4EBC-BC0A-658B793ADE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Mitwirkend, wenn Leistungs-/Verhaltenskontrolle oder Arbeitszeit betroffen (§ 87) WA wird informiert
Antwort:
    Stand 15.06. BR wünscht sich weiterhin mitwirkend</t>
      </text>
    </comment>
    <comment ref="B52" authorId="7" shapeId="0" xr:uid="{569ACDAF-44A9-4180-B67F-E5362636A0A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BR Mitwirkend (§ 99 BetrVG) </t>
      </text>
    </comment>
    <comment ref="B58" authorId="8" shapeId="0" xr:uid="{3A0C770F-2E85-40AB-8A8A-FF5BC066480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ggf. teilweise Mitbestimmung bei konkreter Umsetzung (§§ 92, 96–98 BetrVG) </t>
      </text>
    </comment>
    <comment ref="B64" authorId="9" shapeId="0" xr:uid="{D5AF2DC1-8DD6-451C-83FE-AE285E4DACE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teilweise Mitbestimmung bei Ausgestaltung (§§ 96–98) </t>
      </text>
    </comment>
    <comment ref="B71" authorId="10" shapeId="0" xr:uid="{AD87B9D3-7D48-4AF4-BD26-2B55A70A367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wünscht Ergänzung Ausbildungsbeauftragte, Erläuterung: Abbildung nur bis Ebene EL, nicht darunter
Antwort:
    Stand:15.06.: Weiterhin der Wunsch die Ausbildungsbeauftragten abzubilden</t>
      </text>
    </comment>
    <comment ref="B77" authorId="11" shapeId="0" xr:uid="{2961545C-8DF4-4354-8193-E7A1D4FDE5C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Mitwirkend (§ 99 BetrVG) </t>
      </text>
    </comment>
    <comment ref="B83" authorId="12" shapeId="0" xr:uid="{571BE41F-3D09-4C12-AC95-67D978E62CF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t>
      </text>
    </comment>
    <comment ref="B90" authorId="13" shapeId="0" xr:uid="{2EBB48AA-F1F7-42B5-8BBD-64E0436F4EA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t>
      </text>
    </comment>
    <comment ref="B96" authorId="14" shapeId="0" xr:uid="{6B70549C-8C46-4B7D-B11F-EEE1EF10D09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bei Kündigung: Mitwirkend (Anhörung nach § 102 BetrVG zwingend) Abmahnung:  grundsätzlich Informiert/Beratend (kein Mitbestimmungsrecht) 
Antwort:
    Stand 15.06.: BR wünscht mitwirkend angehakt</t>
      </text>
    </comment>
    <comment ref="B108" authorId="15" shapeId="0" xr:uid="{242EE66D-E65D-4B50-8B76-37DF9689A86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(klassische WA-Angelegenheit) </t>
      </text>
    </comment>
    <comment ref="B114" authorId="16" shapeId="0" xr:uid="{B3036DC9-5476-4A65-893A-033E66EA257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BR: Informiert, ggf. stärker bei Betriebsänderung, WA: Beratend (§ 106 Abs. 3 BetrVG </t>
      </text>
    </comment>
    <comment ref="L116" authorId="17" shapeId="0" xr:uid="{D98DDCF8-92D5-4F21-9051-C1E1DEEAF2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Sonstiges Anlagevermögen</t>
      </text>
    </comment>
    <comment ref="B121" authorId="18" shapeId="0" xr:uid="{93451156-B17A-490A-AB1B-74CED5B9D54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Investitionen und Verbrauch trennen und zwei Punkte anlegen
Antwort:
    BR: Informiert, WA: Beratend bei wirtschaftlicher Relevanz</t>
      </text>
    </comment>
    <comment ref="B133" authorId="19" shapeId="0" xr:uid="{08A31305-5108-41B7-AF33-C1E59DD7AAD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WA: beratend
Antwort:
    Stand 15.06.: BR „informiert“ gewünscht,  ASA als fehlend benannt</t>
      </text>
    </comment>
    <comment ref="B145" authorId="20" shapeId="0" xr:uid="{AA3E20E7-4D87-4FE5-8673-7BB890C3495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WA: beratend</t>
      </text>
    </comment>
    <comment ref="B167" authorId="21" shapeId="0" xr:uid="{0B66C97E-53AD-41B5-A9E2-2D90657847D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WA: beratend
Antwort:
    Stand 15.06: Wunsch des BR,  unter informiert benennen</t>
      </text>
    </comment>
    <comment ref="B179" authorId="22" shapeId="0" xr:uid="{E1EABFBE-48C3-4F2F-8CE0-652B0502D2D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der Liste nehmen?
Antwort:
    Muss konkretisiert werden...</t>
      </text>
    </comment>
    <comment ref="B184" authorId="23" shapeId="0" xr:uid="{F0C23273-40C8-4BF0-8286-72D7251F26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sieht sich in jeder Ebene der Projektinitiierung als mitwirkend
Antwort:
    Stand 15.06.: Weiterhin Wunsch des BR in der Spalte „mitwirkend“ auf allen drei Ebenen genannt zu werden, je nach Projektart (Grundlage: §87, §111, § 92, §99 Betr VG, wird angeführt)</t>
      </text>
    </comment>
    <comment ref="B194" authorId="24" shapeId="0" xr:uid="{820DC79C-8A42-4F57-9834-8D97E970B7C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Verfahrensanweisungen: Beratend, ggf. mitbestimmend bei Auswirkungen auf Ordnung des Betriebs oder Überwachung (§ 87) Arbeitsanweisungen: Beratend, ggf. Mitbestimmend bei mitbestimmungspflichtigen Auswirkungen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tc={3058791F-A7E2-4E70-9A91-34CD8B90F07E}</author>
    <author>tc={7BC80DCA-F8D6-46E7-8CE2-40BA3A29CDE6}</author>
    <author>tc={36C759C7-3D20-4EBD-AD46-A57C90832F0D}</author>
    <author>tc={59D11D46-0ED6-4BCC-82C6-8B487BBA045A}</author>
    <author>tc={03282F3B-8111-4981-BA4A-A3745F5DD238}</author>
    <author>tc={C8D83408-A63B-4B50-9F5A-2CB35CA64FC6}</author>
    <author>tc={317ADEBB-E3D9-43A7-A272-4D2BBB5486E1}</author>
    <author>tc={B832F370-AFE8-48A7-B931-A158EB5D162B}</author>
    <author>tc={A41703C2-A3B8-45A9-B292-9A29C637DDC0}</author>
    <author>tc={0E496F98-F23E-49A1-8C84-5EFD78270369}</author>
    <author>tc={2DD9C60D-5C66-440D-9B7D-DAF47C7E9F3F}</author>
    <author>tc={F7A7FE83-2318-44FB-A8D0-6C478A8E5A73}</author>
    <author>tc={466034E6-E8A9-4CA2-8E17-A215896ECEA7}</author>
    <author>tc={5FDAF7C5-A6EA-4F2F-BA17-F0E9E9699695}</author>
  </authors>
  <commentList>
    <comment ref="I2" authorId="0" shapeId="0" xr:uid="{3058791F-A7E2-4E70-9A91-34CD8B90F0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Sharepoint Ablage für die Protokolle</t>
      </text>
    </comment>
    <comment ref="B12" authorId="1" shapeId="0" xr:uid="{7BC80DCA-F8D6-46E7-8CE2-40BA3A29CDE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Kann das dann raus, wenn jetzt alle Referate einzeln aufgeführt sind? Soll der Inhalt in die einzelnen Referate kopiert werden, oder ergänzen die Referate ihre Inhalte noch selbst?</t>
      </text>
    </comment>
    <comment ref="G13" authorId="2" shapeId="0" xr:uid="{36C759C7-3D20-4EBD-AD46-A57C90832F0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Abstimmung Referatsleitung / GF</t>
      </text>
    </comment>
    <comment ref="F54" authorId="3" shapeId="0" xr:uid="{59D11D46-0ED6-4BCC-82C6-8B487BBA045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Vorbereitung / Moderation</t>
      </text>
    </comment>
    <comment ref="F55" authorId="4" shapeId="0" xr:uid="{03282F3B-8111-4981-BA4A-A3745F5DD23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ggf Referatsleitungen hinzunehmen</t>
      </text>
    </comment>
    <comment ref="B57" authorId="5" shapeId="0" xr:uid="{C8D83408-A63B-4B50-9F5A-2CB35CA64FC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Ein Wunsch des BR, generell an allen projektbezogenen Statusmeetings teilzunehmen, ist  nicht unmittelbar durch das BetrVG gedeckt. Ein Informationsanspruch bezüglich mitbestimmungsrelevanter Projektthemen besteht dagegen </t>
      </text>
    </comment>
    <comment ref="B67" authorId="6" shapeId="0" xr:uid="{317ADEBB-E3D9-43A7-A272-4D2BBB5486E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Ein Anspruch auf ständige Teilnahme an referats- oder themenbezogenen Steuerkreisen ergibt sich aus dem BetrVG grundsätzlich nicht. Der Arbeitgeber muss jedoch die dort behandelten wirtschaftlichen Sachverhalte gegenüber dem Wirtschaftsausschuss offenlegen, soweit sie dessen Aufgabenbereich betreffe </t>
      </text>
    </comment>
    <comment ref="E103" authorId="7" shapeId="0" xr:uid="{B832F370-AFE8-48A7-B931-A158EB5D162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Aufteilung nach Themen</t>
      </text>
    </comment>
    <comment ref="B117" authorId="8" shapeId="0" xr:uid="{A41703C2-A3B8-45A9-B292-9A29C637DDC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BR: Teilnahme nur insoweit gesetzlich begründbar, wie die behandelten Themen Beteiligungsrechte des Betriebsrats berühren. Kein generelles Dauerteilnahmerecht. 
WA: Grundsätzlich kein Teilnahmerecht an einem Referats-Jour fixe; stattdessen Anspruch auf Information über wirtschaftlich relevante Inhalte. 
Ständiger Sitz von BR und WA im JF QM &amp; Regulatorik: Nach dem BetrVG allein regelmäßig nicht zwingend legitimierbar, da es sich um ein fachlich-operatives Steuerungs- bzw. Abstimmungsgremium handelt.
</t>
      </text>
    </comment>
    <comment ref="B152" authorId="9" shapeId="0" xr:uid="{0E496F98-F23E-49A1-8C84-5EFD7827036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Kommentar nicht nachvollziehbar</t>
      </text>
    </comment>
    <comment ref="B157" authorId="10" shapeId="0" xr:uid="{2DD9C60D-5C66-440D-9B7D-DAF47C7E9F3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Vgl. Nr. 32, Terminierung offenbar monatlich und in Gesamtbesetzung erwünscht</t>
      </text>
    </comment>
    <comment ref="B167" authorId="11" shapeId="0" xr:uid="{F7A7FE83-2318-44FB-A8D0-6C478A8E5A7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Inhalte, etc...fehlen</t>
      </text>
    </comment>
    <comment ref="C169" authorId="12" shapeId="0" xr:uid="{466034E6-E8A9-4CA2-8E17-A215896ECEA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stimmt da die Zeit? Geht ja aus dem Kalender von Herrn Fritsch nicht hervor...</t>
      </text>
    </comment>
    <comment ref="B172" authorId="13" shapeId="0" xr:uid="{5FDAF7C5-A6EA-4F2F-BA17-F0E9E96996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Inhalte, etc. fehlen</t>
      </text>
    </comment>
  </commentList>
</comments>
</file>

<file path=xl/sharedStrings.xml><?xml version="1.0" encoding="utf-8"?>
<sst xmlns="http://schemas.openxmlformats.org/spreadsheetml/2006/main" count="1006" uniqueCount="352">
  <si>
    <t>Entscheidungssituationen</t>
  </si>
  <si>
    <r>
      <rPr>
        <b/>
        <sz val="11"/>
        <color theme="1"/>
        <rFont val="Calibri"/>
        <family val="2"/>
        <scheme val="minor"/>
      </rPr>
      <t>Ziel der Sammlung</t>
    </r>
    <r>
      <rPr>
        <sz val="11"/>
        <color theme="1"/>
        <rFont val="Calibri"/>
        <family val="2"/>
        <scheme val="minor"/>
      </rPr>
      <t xml:space="preserve">
Ziel ist es, typische Entscheidungssituationen sichtbar zu machen.
Es geht nicht um Problemlösungen oder Bewertungen, sondern um eine saubere Beschreibung von Entscheidungslagen.</t>
    </r>
  </si>
  <si>
    <r>
      <rPr>
        <b/>
        <sz val="11"/>
        <color theme="1"/>
        <rFont val="Calibri"/>
        <family val="2"/>
        <scheme val="minor"/>
      </rPr>
      <t>Wichtige Leitplanke</t>
    </r>
    <r>
      <rPr>
        <sz val="11"/>
        <color theme="1"/>
        <rFont val="Calibri"/>
        <family val="2"/>
        <scheme val="minor"/>
      </rPr>
      <t xml:space="preserve">
Fokus auf typische, wiederkehrende Situationen, nicht auf Einzelfälle.
</t>
    </r>
  </si>
  <si>
    <r>
      <rPr>
        <b/>
        <sz val="11"/>
        <color theme="1"/>
        <rFont val="Calibri"/>
        <family val="2"/>
        <scheme val="minor"/>
      </rPr>
      <t>Was ist eine „kritische Entscheidungssituation“?</t>
    </r>
    <r>
      <rPr>
        <sz val="11"/>
        <color theme="1"/>
        <rFont val="Calibri"/>
        <family val="2"/>
        <scheme val="minor"/>
      </rPr>
      <t xml:space="preserve">
Eine Situation, in der aus Sicht einer Einrichtungsleitung unklar ist:
ob sie selbst entscheiden darf oder muss,
wer sonst beteiligt oder entscheidend ist,
welche Vorgaben oder Rahmenbedingungen gelten</t>
    </r>
  </si>
  <si>
    <t>Entscheidungsebenen</t>
  </si>
  <si>
    <t>Umsetzungsspielraum der EL</t>
  </si>
  <si>
    <t>Kein Spielraum (klare Vorgaben)</t>
  </si>
  <si>
    <t>Teilspielraum (Rahmen vorgegeben)</t>
  </si>
  <si>
    <t>Großer Spielraum ( eigenverantwortliche Ausgestaltung)</t>
  </si>
  <si>
    <t>Kurzbeschreibung des Spielraums:</t>
  </si>
  <si>
    <t>Rahmen und Grenzen</t>
  </si>
  <si>
    <t>Normative Vorgaben?</t>
  </si>
  <si>
    <t>GF-Entscheidung?</t>
  </si>
  <si>
    <t>Budget / Personalgrenzen?</t>
  </si>
  <si>
    <t>Einschätzung der Gruppe:</t>
  </si>
  <si>
    <t>Klar</t>
  </si>
  <si>
    <t>Diskussionsbedürftig</t>
  </si>
  <si>
    <t>Bislang ungeklärt</t>
  </si>
  <si>
    <t>Offene Fragen / Klärungsbedarfe</t>
  </si>
  <si>
    <t xml:space="preserve">Insbesondere Diskussion von </t>
  </si>
  <si>
    <t>Beteiligungsrollen:</t>
  </si>
  <si>
    <t>„Zuständigkeit der EL“</t>
  </si>
  <si>
    <t>„Beteiligung anderer Ebenen“</t>
  </si>
  <si>
    <t>„Grenzen und Spielräume“</t>
  </si>
  <si>
    <t>Kommunikationsmatrix</t>
  </si>
  <si>
    <r>
      <rPr>
        <b/>
        <sz val="11"/>
        <color theme="1"/>
        <rFont val="Calibri"/>
        <family val="2"/>
        <scheme val="minor"/>
      </rPr>
      <t>Zweck der Kommunikationsmatrix</t>
    </r>
    <r>
      <rPr>
        <sz val="11"/>
        <color theme="1"/>
        <rFont val="Calibri"/>
        <family val="2"/>
        <scheme val="minor"/>
      </rPr>
      <t xml:space="preserve">
Die Kommunikationsmatrix dient dazu, alle wesentlichen Besprechungs- und Abstimmungsformate strukturiert abzubilden und transparent zu machen. Sie schafft Klarheit darüber,</t>
    </r>
  </si>
  <si>
    <t>welche Formate es gibt,</t>
  </si>
  <si>
    <t>welche Inhalte und Zwecke diese verfolgen und</t>
  </si>
  <si>
    <t>wer in welcher Rolle beteiligt ist.</t>
  </si>
  <si>
    <r>
      <rPr>
        <b/>
        <sz val="11"/>
        <color theme="1"/>
        <rFont val="Calibri"/>
        <family val="2"/>
        <scheme val="minor"/>
      </rPr>
      <t>Ziel</t>
    </r>
    <r>
      <rPr>
        <sz val="11"/>
        <color theme="1"/>
        <rFont val="Calibri"/>
        <family val="2"/>
        <scheme val="minor"/>
      </rPr>
      <t xml:space="preserve"> ist eine konsistente, effiziente und rollenklare Kommunikations- und Steuerungslogik im neuen Organisationsmodell</t>
    </r>
  </si>
  <si>
    <t>Erläuterung der Beteiligungsformate in der Matrix</t>
  </si>
  <si>
    <r>
      <rPr>
        <b/>
        <sz val="11"/>
        <color theme="1"/>
        <rFont val="Calibri"/>
        <family val="2"/>
        <scheme val="minor"/>
      </rPr>
      <t>Verantwortlicher / Initiator</t>
    </r>
    <r>
      <rPr>
        <sz val="11"/>
        <color theme="1"/>
        <rFont val="Calibri"/>
        <family val="2"/>
        <scheme val="minor"/>
      </rPr>
      <t xml:space="preserve">
Definiert, wer das Format einberuft und inhaltlich verantwortet
Zuständig für Agenda, Zielsetzung und Nachverfolgung
Trägt die Verantwortung für die Wirksamkeit des Formats</t>
    </r>
  </si>
  <si>
    <r>
      <rPr>
        <b/>
        <sz val="11"/>
        <color theme="1"/>
        <rFont val="Calibri"/>
        <family val="2"/>
        <scheme val="minor"/>
      </rPr>
      <t>Verteiler / Teilnehmer</t>
    </r>
    <r>
      <rPr>
        <sz val="11"/>
        <color theme="1"/>
        <rFont val="Calibri"/>
        <family val="2"/>
        <scheme val="minor"/>
      </rPr>
      <t xml:space="preserve">
Legt fest, wer regelmäßig oder anlassbezogen teilnimmt
Orientierung an Rollen (nicht primär an Personen)
Differenzierung möglich zwischen Kernteilnehmenden und optionalen Teilnehmenden</t>
    </r>
  </si>
  <si>
    <r>
      <rPr>
        <b/>
        <sz val="11"/>
        <color theme="1"/>
        <rFont val="Calibri"/>
        <family val="2"/>
        <scheme val="minor"/>
      </rPr>
      <t>Prüfung der Kommunikationsmatrix</t>
    </r>
    <r>
      <rPr>
        <sz val="11"/>
        <color theme="1"/>
        <rFont val="Calibri"/>
        <family val="2"/>
        <scheme val="minor"/>
      </rPr>
      <t xml:space="preserve">
Bei der Anwendung und Weiterentwicklung der Matrix sollten folgende Aspekte regelmäßig überprüft werden:
</t>
    </r>
    <r>
      <rPr>
        <b/>
        <sz val="11"/>
        <color theme="1"/>
        <rFont val="Calibri"/>
        <family val="2"/>
        <scheme val="minor"/>
      </rPr>
      <t>Vollständigkeit</t>
    </r>
    <r>
      <rPr>
        <sz val="11"/>
        <color theme="1"/>
        <rFont val="Calibri"/>
        <family val="2"/>
        <scheme val="minor"/>
      </rPr>
      <t xml:space="preserve">
Sind alle relevanten Besprechungsformate abgebildet?
Fehlen wichtige Gremien oder Abstimmungsformate?
</t>
    </r>
    <r>
      <rPr>
        <b/>
        <sz val="11"/>
        <color theme="1"/>
        <rFont val="Calibri"/>
        <family val="2"/>
        <scheme val="minor"/>
      </rPr>
      <t>Praxistauglichkeit</t>
    </r>
    <r>
      <rPr>
        <sz val="11"/>
        <color theme="1"/>
        <rFont val="Calibri"/>
        <family val="2"/>
        <scheme val="minor"/>
      </rPr>
      <t xml:space="preserve">
Sind die Formate im Alltag umsetzbar?
Unterstützen sie die Arbeit oder erzeugen sie zusätzlichen Aufwand?
Ist der Nutzen der Formate für die Beteiligten klar erkennbar?
</t>
    </r>
    <r>
      <rPr>
        <b/>
        <sz val="11"/>
        <color theme="1"/>
        <rFont val="Calibri"/>
        <family val="2"/>
        <scheme val="minor"/>
      </rPr>
      <t>Passung der Beteiligungsformate</t>
    </r>
    <r>
      <rPr>
        <sz val="11"/>
        <color theme="1"/>
        <rFont val="Calibri"/>
        <family val="2"/>
        <scheme val="minor"/>
      </rPr>
      <t xml:space="preserve">
Sind die richtigen Rollen beteiligt (nicht zu viele / nicht zu wenige)?
Ist die Verantwortlichkeit eindeutig geklärt?
Passt die Frequenz zum tatsächlichen Bedarf?
</t>
    </r>
    <r>
      <rPr>
        <b/>
        <sz val="11"/>
        <color theme="1"/>
        <rFont val="Calibri"/>
        <family val="2"/>
        <scheme val="minor"/>
      </rPr>
      <t>Verständlichkeit</t>
    </r>
    <r>
      <rPr>
        <sz val="11"/>
        <color theme="1"/>
        <rFont val="Calibri"/>
        <family val="2"/>
        <scheme val="minor"/>
      </rPr>
      <t xml:space="preserve">
Sind die Bezeichnungen und Beschreibungen eindeutig?
Ist für alle Beteiligten klar, wofür das jeweilige Format steht?
</t>
    </r>
    <r>
      <rPr>
        <b/>
        <sz val="11"/>
        <color theme="1"/>
        <rFont val="Calibri"/>
        <family val="2"/>
        <scheme val="minor"/>
      </rPr>
      <t>Klärungsbedarfe</t>
    </r>
    <r>
      <rPr>
        <sz val="11"/>
        <color theme="1"/>
        <rFont val="Calibri"/>
        <family val="2"/>
        <scheme val="minor"/>
      </rPr>
      <t xml:space="preserve">
Wo bestehen Unschärfen in Rollen, Inhalten oder Zuständigkeiten?
Welche Formate überschneiden sich oder sind nicht klar abgegrenzt?
Wo fehlen klare Entscheidungs- oder Eskalationslogiken?</t>
    </r>
  </si>
  <si>
    <t xml:space="preserve">Nr. </t>
  </si>
  <si>
    <t>Entscheidungssituation Thema</t>
  </si>
  <si>
    <t>operativ  / strategisch</t>
  </si>
  <si>
    <t>Bezug zum Organisationsmodell</t>
  </si>
  <si>
    <t>Leadreferat</t>
  </si>
  <si>
    <t>Steuerkreis</t>
  </si>
  <si>
    <t>Projekt</t>
  </si>
  <si>
    <t>entscheidend</t>
  </si>
  <si>
    <t>mitwirkend</t>
  </si>
  <si>
    <r>
      <t>beratend</t>
    </r>
    <r>
      <rPr>
        <b/>
        <sz val="11"/>
        <rFont val="Calibri"/>
        <family val="2"/>
        <scheme val="minor"/>
      </rPr>
      <t xml:space="preserve"> (OPTIONAL)</t>
    </r>
  </si>
  <si>
    <t>informiert</t>
  </si>
  <si>
    <t>Grenzwerte</t>
  </si>
  <si>
    <t>Kennzahlen</t>
  </si>
  <si>
    <r>
      <t>Bemerkungen</t>
    </r>
    <r>
      <rPr>
        <b/>
        <sz val="11"/>
        <rFont val="Calibri"/>
        <family val="2"/>
        <scheme val="minor"/>
      </rPr>
      <t xml:space="preserve"> / WS Ergebnisse</t>
    </r>
  </si>
  <si>
    <t xml:space="preserve">Besetzung Führungskräfte: Position GBL </t>
  </si>
  <si>
    <t>strategisch</t>
  </si>
  <si>
    <t>Kernaufgabe</t>
  </si>
  <si>
    <t xml:space="preserve"> / </t>
  </si>
  <si>
    <t>nein</t>
  </si>
  <si>
    <t>Geschäftsführung</t>
  </si>
  <si>
    <t>Einrichtungsleitung</t>
  </si>
  <si>
    <t>MAV / BR</t>
  </si>
  <si>
    <t>Innerhalb der vorgegebenen, übergeordneten Strukturen, MAV (MVG), BR (BetrVG)</t>
  </si>
  <si>
    <t>Referatsleitung</t>
  </si>
  <si>
    <t>A³ Team Leitung</t>
  </si>
  <si>
    <t>Besetzung Führungskräfte: Position EL</t>
  </si>
  <si>
    <t>Geschäftsbereichsleitung</t>
  </si>
  <si>
    <r>
      <t>Beteiligung von Referatsleitungen bei Bedarf der GBL</t>
    </r>
    <r>
      <rPr>
        <sz val="11"/>
        <rFont val="Calibri"/>
        <family val="2"/>
        <scheme val="minor"/>
      </rPr>
      <t xml:space="preserve"> Mitwirkung der EL optional </t>
    </r>
    <r>
      <rPr>
        <sz val="11"/>
        <color theme="8" tint="-0.249977111117893"/>
        <rFont val="Calibri"/>
        <family val="2"/>
        <scheme val="minor"/>
      </rPr>
      <t xml:space="preserve"> Innerhalb der vorgegebenen, übergeordneten Strukturen, MAV (MVG), BR (BetrVG)</t>
    </r>
  </si>
  <si>
    <t>Besetzung Führungskräfte:  mittleres Management (PDL)</t>
  </si>
  <si>
    <r>
      <t>Beteiligung von Referatsleitungen bei Bedarf der EL</t>
    </r>
    <r>
      <rPr>
        <sz val="11"/>
        <rFont val="Calibri"/>
        <family val="2"/>
        <scheme val="minor"/>
      </rPr>
      <t xml:space="preserve">, GBL Vetorecht </t>
    </r>
    <r>
      <rPr>
        <sz val="11"/>
        <color theme="8" tint="-0.249977111117893"/>
        <rFont val="Calibri"/>
        <family val="2"/>
        <scheme val="minor"/>
      </rPr>
      <t xml:space="preserve"> Innerhalb der vorgegebenen, übergeordneten Strukturen, MAV (MVG), BR (BetrVG)</t>
    </r>
  </si>
  <si>
    <t xml:space="preserve">Personalentwicklung </t>
  </si>
  <si>
    <t>Personal</t>
  </si>
  <si>
    <t>ja</t>
  </si>
  <si>
    <t>Personalabteilung</t>
  </si>
  <si>
    <t>BR Beratend; ggf. teilweise Mitbestimmung bei konkreter Umsetzung (§§ 92, 96–98 BetrVG) WA Beratend, sofern wirtschaftliche Auswirkungen  Innerhalb der vorgegebenen, übergeordneten Strukturen, MAV (MVG), BR (BetrVG)</t>
  </si>
  <si>
    <t>Referat Personal</t>
  </si>
  <si>
    <t>Referat QM / Regulatorik</t>
  </si>
  <si>
    <t>Referat Wirtschaft &amp; Finanzen</t>
  </si>
  <si>
    <t>Referat Marketing &amp; Vertrieb</t>
  </si>
  <si>
    <t>Wirtschaftsausschuss SBO</t>
  </si>
  <si>
    <t>Personalentwicklung</t>
  </si>
  <si>
    <t>operativ</t>
  </si>
  <si>
    <t>A³ Team</t>
  </si>
  <si>
    <t>Zuständigkeit: Führungspersonen und übergeordnete Stellen</t>
  </si>
  <si>
    <t xml:space="preserve">Innerhalb der vorgegebenen, übergeordneten Strukturen, MAV (MVG), BR (BetrVG) Beratend bis Mitwirkend je nach Maßnahme </t>
  </si>
  <si>
    <t>Zuständigkeit: Einrichtungsebene</t>
  </si>
  <si>
    <t>Zuständigkeit: Referatsebene</t>
  </si>
  <si>
    <t>Organisationsstrukturen in den Einrichtungen: Fokus Personal- &amp; Führungsstrukturen</t>
  </si>
  <si>
    <t>Fort- und Weiterbildung (Freigabe)</t>
  </si>
  <si>
    <r>
      <t>die nächsthöhere Hierarchiebene ist Freigabe berechtigt ( ab EL Ebene)</t>
    </r>
    <r>
      <rPr>
        <sz val="11"/>
        <rFont val="Calibri"/>
        <family val="2"/>
        <scheme val="minor"/>
      </rPr>
      <t xml:space="preserve"> Budget ist jeweils festzulegen im Steuerkreis Personal und Steuerkreis Finanzen (Pro Kopf Budget), ggf Wertgrenzen</t>
    </r>
    <r>
      <rPr>
        <sz val="11"/>
        <color theme="1"/>
        <rFont val="Calibri"/>
        <family val="2"/>
        <scheme val="minor"/>
      </rPr>
      <t xml:space="preserve">,    </t>
    </r>
    <r>
      <rPr>
        <sz val="11"/>
        <color theme="9" tint="-0.249977111117893"/>
        <rFont val="Calibri"/>
        <family val="2"/>
        <scheme val="minor"/>
      </rPr>
      <t xml:space="preserve">   </t>
    </r>
    <r>
      <rPr>
        <sz val="11"/>
        <color theme="4" tint="-0.499984740745262"/>
        <rFont val="Calibri"/>
        <family val="2"/>
        <scheme val="minor"/>
      </rPr>
      <t xml:space="preserve">BR Mitbestimmend bei betrieblichen Bildungsmaßnahmen (§ 98 BetrVG) </t>
    </r>
  </si>
  <si>
    <t xml:space="preserve">Budget: </t>
  </si>
  <si>
    <t>Auswertung / Analyse  Personaleinsatz</t>
  </si>
  <si>
    <t>Wirtschaft &amp; Finanzen</t>
  </si>
  <si>
    <r>
      <t>Referat Personal und Referat Wirtschaft und Finanzen / Controlling stellen Zahlen bereit, Fokus: Steuerungsunterstützung,</t>
    </r>
    <r>
      <rPr>
        <sz val="11"/>
        <color theme="8" tint="-0.249977111117893"/>
        <rFont val="Calibri"/>
        <family val="2"/>
        <scheme val="minor"/>
      </rPr>
      <t xml:space="preserve"> BR: Mitwirkend, wenn Leistungs-/Verhaltenskontrolle oder Arbeitszeit betroffen (§ 87) MAV innerhalb der vorgegebenen, übergeordneten Strukturen(MVG)</t>
    </r>
  </si>
  <si>
    <t>Controlling</t>
  </si>
  <si>
    <t xml:space="preserve">Personaleinstellung </t>
  </si>
  <si>
    <t>Stellenschlüssel / Personalbudget</t>
  </si>
  <si>
    <r>
      <t xml:space="preserve">Freigabeprozess GBL bei Budgetüberschreitung  -Entscheidungsbefugnis der Leitungskräfte im jeweiligen Zuständigkeitsbereich </t>
    </r>
    <r>
      <rPr>
        <sz val="11"/>
        <color theme="8" tint="-0.249977111117893"/>
        <rFont val="Calibri"/>
        <family val="2"/>
        <scheme val="minor"/>
      </rPr>
      <t>Innerhalb der vorgegebenen, übergeordneten Strukturen, MAV (MVG), BR (BetrVG)</t>
    </r>
  </si>
  <si>
    <t>Fort- und Weiterbildung (Personalentwicklung)</t>
  </si>
  <si>
    <r>
      <t>Ref. Finanzen beratend bzgl Budgetplanung EL u.a. durch Abfrage beteilig</t>
    </r>
    <r>
      <rPr>
        <sz val="11"/>
        <color theme="4" tint="-0.499984740745262"/>
        <rFont val="Calibri"/>
        <family val="2"/>
        <scheme val="minor"/>
      </rPr>
      <t xml:space="preserve">t BR: teilweise Mitwirkend bei konkreter Umsetzung (§§ 92, 96–98 BetrVG) </t>
    </r>
  </si>
  <si>
    <t>Ausbildung: Planung</t>
  </si>
  <si>
    <t>Entscheidungsebene unklar</t>
  </si>
  <si>
    <t>Anzahl Schulplätze</t>
  </si>
  <si>
    <r>
      <t xml:space="preserve">Personalabteilung übernimmt Aufgaben in Bezug auf PfAU und Koordination / Planung der Ausbildungssituationen in den Einrichtungen (keine Entscheidungsbeteiligung) </t>
    </r>
    <r>
      <rPr>
        <sz val="11"/>
        <color theme="8" tint="-0.249977111117893"/>
        <rFont val="Calibri"/>
        <family val="2"/>
        <scheme val="minor"/>
      </rPr>
      <t xml:space="preserve"> Innerhalb der vorgegebenen, übergeordneten Strukturen, MAV (MVG)</t>
    </r>
  </si>
  <si>
    <t>Pflegeschule</t>
  </si>
  <si>
    <t xml:space="preserve">Anzahl der PA </t>
  </si>
  <si>
    <t xml:space="preserve">Ausbildung: Durchführung </t>
  </si>
  <si>
    <t xml:space="preserve">Die Einbindung von Ausbildungsbeauftragen in Entscheidungsprozesse der Ausbildungsplanung erfolgt auf Ebene der Einrichtungen </t>
  </si>
  <si>
    <t>Ausbildung: Übernahme</t>
  </si>
  <si>
    <t>Personalbudget</t>
  </si>
  <si>
    <t>GBL übergeordnet bei Bedarf, Steuerkreis entscheidet nicht, sondern soll den Rahmen des Austausches darstellen</t>
  </si>
  <si>
    <t>Personalsteuerung: Geschäftsbereich</t>
  </si>
  <si>
    <t>Personalbudget Geschäftsbereich</t>
  </si>
  <si>
    <t>Personalsteuerung: Einrichtung</t>
  </si>
  <si>
    <t>Mitwirkung / Übernahmen der einrichtungsinternen Personalsteuerung in Ausnahmefällen durch die GBL</t>
  </si>
  <si>
    <t>Kündigung &amp; Abmahnung</t>
  </si>
  <si>
    <r>
      <t xml:space="preserve">Beteiligung GBL bei Kündigung,  hierarchische Eskalation im Sonderfall </t>
    </r>
    <r>
      <rPr>
        <sz val="11"/>
        <color theme="8" tint="-0.249977111117893"/>
        <rFont val="Calibri"/>
        <family val="2"/>
        <scheme val="minor"/>
      </rPr>
      <t>(z.B. außerordentliche Kündigungen, Kündigungen mit hohem arbeitsrechtlichem Risiko, Konflikt mit erheblicher Außenwirkung, Kündigung von Führungskräften)</t>
    </r>
    <r>
      <rPr>
        <sz val="11"/>
        <color theme="1"/>
        <rFont val="Calibri"/>
        <family val="2"/>
        <scheme val="minor"/>
      </rPr>
      <t xml:space="preserve"> ,</t>
    </r>
    <r>
      <rPr>
        <sz val="11"/>
        <color theme="9" tint="-0.249977111117893"/>
        <rFont val="Calibri"/>
        <family val="2"/>
        <scheme val="minor"/>
      </rPr>
      <t xml:space="preserve"> </t>
    </r>
    <r>
      <rPr>
        <sz val="11"/>
        <color theme="8" tint="-0.249977111117893"/>
        <rFont val="Calibri"/>
        <family val="2"/>
        <scheme val="minor"/>
      </rPr>
      <t xml:space="preserve">BR / MAV bei Kündigung: Mitwirkend / Mitbestimmend (Anhörung nach § 102 BetrVG zwingend) Abmahnung:  grundsätzlich Informiert/beratend (kein Mitbestimmungsrecht) </t>
    </r>
  </si>
  <si>
    <t>Freigabeprozesse (Rechnungsfreigabe)</t>
  </si>
  <si>
    <t>Budgetabhängig und Themenabhängig / Kostenstellenverantwortung</t>
  </si>
  <si>
    <t>Anschaffung &amp; Investitionen (Investitionen: Planung)</t>
  </si>
  <si>
    <t>Budget</t>
  </si>
  <si>
    <t>Wirtschaftplan</t>
  </si>
  <si>
    <t>SALG</t>
  </si>
  <si>
    <t>Anschaffung &amp; Investitionen (Investitionen, Verbrauch, Controlling)</t>
  </si>
  <si>
    <t>BR</t>
  </si>
  <si>
    <t>Wertgrenze bei nicht geplanten Maßnahmen: 25.000 Euro</t>
  </si>
  <si>
    <t>ab 5.000 Euro zwei Vergleichsangebote einzuholen, Rahmen für Verbrauch wird zentral gesetzt</t>
  </si>
  <si>
    <t xml:space="preserve">bei nicht geplanten Maßnahmen </t>
  </si>
  <si>
    <t>kann alle planmäßigen Maßnahmen freigeben</t>
  </si>
  <si>
    <t>Wertgrenze bei nicht geplanten Maßnahmen: 10.000 Euro</t>
  </si>
  <si>
    <t>Beschaffungsprozesse (Auswahl der Lieferanten, Dienstleister und Handwerker), Teilprozess Instandhaltung und Investitionen</t>
  </si>
  <si>
    <t>Fokus: Vereinheitlichung und Objektivierung</t>
  </si>
  <si>
    <t>Baumanagement</t>
  </si>
  <si>
    <t>Instandhaltung ( Planung)</t>
  </si>
  <si>
    <t>GF hier: inkl. Herr Koch</t>
  </si>
  <si>
    <t>LALG</t>
  </si>
  <si>
    <t>Instandhaltung (Verbrauch, Controlling)</t>
  </si>
  <si>
    <t>ab 5.000€ zwei Vergleichsangebote einzuholen</t>
  </si>
  <si>
    <t xml:space="preserve">Refinanzierungsgrundlagen herstellen </t>
  </si>
  <si>
    <t>Fördermittelmanagement</t>
  </si>
  <si>
    <t>abhängig von Förderprogramm/ Art der Förderung</t>
  </si>
  <si>
    <t>Arbeitspaketverantwortliche</t>
  </si>
  <si>
    <t>offene Posten Management: operativ auf Einrichtungsebene</t>
  </si>
  <si>
    <t>ganzheitliches Verständnis OPO Mahnfall und Rechtsfall (umfassend) Fokus: Kommunikation, Zuständigkeiten und Transparenz (regelhafte Abstimmungen)</t>
  </si>
  <si>
    <t>offene Posten Management: übergeordnet</t>
  </si>
  <si>
    <t>Beteiligungsregelung fehlt</t>
  </si>
  <si>
    <t>Kommunikationsstruktur unklar</t>
  </si>
  <si>
    <t>Belegungsmanagement (Controlling)</t>
  </si>
  <si>
    <t>Marketing &amp; Vertrieb</t>
  </si>
  <si>
    <r>
      <t>GBL entscheidet, wenn Situation außerhalb der Norm oder Zielsetzung (übergeordnet),</t>
    </r>
    <r>
      <rPr>
        <sz val="11"/>
        <color theme="8" tint="-0.249977111117893"/>
        <rFont val="Calibri"/>
        <family val="2"/>
        <scheme val="minor"/>
      </rPr>
      <t xml:space="preserve"> BR / MAV: informiert im Rahmen des Regelberichtwesens</t>
    </r>
  </si>
  <si>
    <t>Belegungsmanagement</t>
  </si>
  <si>
    <t xml:space="preserve">UK Abstimmung </t>
  </si>
  <si>
    <t>Steuerkreis fungiert als Auftraggeber für die (dort auch beteiligte) UK - sowohl für Grundzüge/Zielrichtungen der Unternehmenskommunikation als auch für einzelne Marketingprojekte - und maßnahmen</t>
  </si>
  <si>
    <t>Projektinitiierung</t>
  </si>
  <si>
    <t>A³Team</t>
  </si>
  <si>
    <r>
      <t xml:space="preserve">1. Interne Abstimmungen und inhaltliche Füllung, Zuordnung sind weiterhin notwendig (Kerngruppe) und Info in der Leitungskonferenz.                             2.  Projektinitiierung in Bezug auf Angebotsentwicklung und Produktspezifizierung sowie Marketingmaßnahmen aus dem Referat Marketing und Vertrieb wird mit Schnittstelle Jörg Kliewer in das A³ Team getragen, Projektleitung erfolgt ggf über MA des Referats Marketing und Vertrieb,  </t>
    </r>
    <r>
      <rPr>
        <sz val="11"/>
        <color theme="8" tint="-0.249977111117893"/>
        <rFont val="Calibri"/>
        <family val="2"/>
        <scheme val="minor"/>
      </rPr>
      <t>Mitwirkung von BR / MAV: bei mitbestimmungspflichtigen Auswirkungen</t>
    </r>
  </si>
  <si>
    <t>Teilprojektleitungen / Arbeitspaketverantwortliche</t>
  </si>
  <si>
    <t>Erstellung und Revision: Verfahrensanweisungen, Arbeitsanweisungen  QM</t>
  </si>
  <si>
    <t>QM / Regulatorik</t>
  </si>
  <si>
    <r>
      <t xml:space="preserve">mitwirkend Referatsleitungen aller Referate, </t>
    </r>
    <r>
      <rPr>
        <sz val="11"/>
        <color theme="8" tint="-0.249977111117893"/>
        <rFont val="Calibri"/>
        <family val="2"/>
        <scheme val="minor"/>
      </rPr>
      <t xml:space="preserve">BR / MAV: Verfahrensanweisungen: Beratend, ggf. mitbestimmend bei Auswirkungen auf Ordnung des Betriebs oder Überwachung (§ 87) Arbeitsanweisungen: Beratend, ggf. Mitbestimmend bei mitbestimmungspflichtigen Auswirkungen </t>
    </r>
  </si>
  <si>
    <t>MAV</t>
  </si>
  <si>
    <t>Bezeichnung / Titel</t>
  </si>
  <si>
    <t>Zeitrahmen</t>
  </si>
  <si>
    <t>Was? / Inhalt</t>
  </si>
  <si>
    <t>Wer? Verantwortlicher / Initiator</t>
  </si>
  <si>
    <t>Wen? Verteiler / Teilnehmer</t>
  </si>
  <si>
    <t>Wann? Termin / Frequenz</t>
  </si>
  <si>
    <t>Wie? Charakteristika / Informationsart</t>
  </si>
  <si>
    <t>Ergebnisse / Ergebnisformat</t>
  </si>
  <si>
    <r>
      <t>Bemerkungen / Ergänzungen</t>
    </r>
    <r>
      <rPr>
        <b/>
        <sz val="11"/>
        <rFont val="Calibri"/>
        <family val="2"/>
        <scheme val="minor"/>
      </rPr>
      <t xml:space="preserve"> / WS Erkenntnisse </t>
    </r>
  </si>
  <si>
    <t xml:space="preserve">Jour fixe EL </t>
  </si>
  <si>
    <t>1,5 h</t>
  </si>
  <si>
    <t>Operativer Status der Einrichtungen, inkl. Kennzahlen
Sicherstellung des laufenden Betriebs
Personalthemen (Verfügbarkeit, Engpässe, Einsatzplanung)
Kurzfristige Probleme und deren Lösung
Umsetzung von Vorgaben aus GF-/GBL-Ebene
Abstimmung von Abläufen und Standards
Qualitätssicherung im Tagesgeschäft
Rückmeldungen aus den Einrichtungen (Praxisperspektive)
Konkrete ToDos und Maßnahmenverfolgung</t>
  </si>
  <si>
    <t>Einrichtungsleitungen</t>
  </si>
  <si>
    <t>monatlich</t>
  </si>
  <si>
    <t>Jour fixe</t>
  </si>
  <si>
    <t>Protokoll (Verbindlichkeiten)</t>
  </si>
  <si>
    <t>optional Teilnahme Controlling</t>
  </si>
  <si>
    <t xml:space="preserve">Jour fixe GBL </t>
  </si>
  <si>
    <t>Strategische Zielverfolgung und Zielabweichungen
Entwicklung der Geschäftsbereiche (übergreifend)
Kritische Risiken und wesentliche Eskalationen
Grundsatz- und Richtungsentscheidungen
Priorisierung auf Gesamtorganisationsebene
Ressourcensteuerung (Budget, Ressourcen)
Organisations- und Strukturthemen
Externe Einflussfaktoren (Politik, Markt, Träger, etc.)
Erwartungsklärung und Steuerungsimpulse an GBL</t>
  </si>
  <si>
    <t>Geschäftsbereichsleitungen</t>
  </si>
  <si>
    <t>ggf später zweimonatlich</t>
  </si>
  <si>
    <t>0,833h</t>
  </si>
  <si>
    <t>ereignisabhängig</t>
  </si>
  <si>
    <t xml:space="preserve">Info an jeweilige, beteiligte Referate / Steuerkreise durch GBL </t>
  </si>
  <si>
    <t>Jour fixe Referate, einzeln</t>
  </si>
  <si>
    <t>Verdichteter Status aus den Referaten (fokussiert)
Kritische Themen aus der operativen Umsetzung
Konkrete Eskalationen und Entscheidungsbedarfe
Fortschritt wesentlicher Maßnahmen / Projekte
Identifikation von Umsetzungshemmnissen
Abstimmung bereichsübergreifender operativer Themen
Klärung von Prioritäten bei Zielkonflikten
Direktes Feedback der GF zu operativen Themen</t>
  </si>
  <si>
    <t>zweimonatlich</t>
  </si>
  <si>
    <t>Personal: plus Referent*in im Team</t>
  </si>
  <si>
    <t>1,5h</t>
  </si>
  <si>
    <t xml:space="preserve">Jour Fix Referat Personal </t>
  </si>
  <si>
    <t>1,25h</t>
  </si>
  <si>
    <t>Jour Fix Referat Marketing und Vertrieb</t>
  </si>
  <si>
    <t>Organisatiosnentwicklung, Strategieprozess, Status Projekte (übergeordnet), Kritische Themen aus der strategischen Umsetzung
Konkrete Eskalationen und Entscheidungsbedarfe
Fortschritt wesentlicher Maßnahmen / Projekte
Identifikation von Umsetzungshemmnissen
Abstimmung strategischer Themen
Klärung von Prioritäten bei Zielkonflikten
Direktes Feedback der GF zu strategischen Themen</t>
  </si>
  <si>
    <t>Wochengespräch</t>
  </si>
  <si>
    <t>Verdichteter Status aus den Referaten (keine Detailberichte)
Kritische Themen / Risiken / Eskalationen
Entscheidungsbedarfe an die Geschäftsführung
Ressourcen- und Kapazitätsengpässe
Abstimmung bereichsübergreifender Themen
Rückmeldungen / Vorgaben der Geschäftsführung</t>
  </si>
  <si>
    <t>wöchentlich</t>
  </si>
  <si>
    <t>Regelmeeting / Strategiemeeting</t>
  </si>
  <si>
    <t>Prokoll (Verbindlichkeiten)</t>
  </si>
  <si>
    <t>Sekretariat lädt ein, GF Beteiligung 1 x monatlich wird im Kalender kenntlich gemacht / festgelegt</t>
  </si>
  <si>
    <t>2h</t>
  </si>
  <si>
    <t>Status Update</t>
  </si>
  <si>
    <t>Leitungskonferenz, stationär</t>
  </si>
  <si>
    <t xml:space="preserve">Information bzgl:                                                                                                                                                                                                                                                                                                                                                                                                                                                                                                                            Projektinitiierung                                                                                                                                                                                                                                                                                                                                                                                                                                                                                                                         Zielerreichung und Kennzahlen (KPIs)
Strategierelevante Entwicklungen
Bereichsübergreifende Abstimmungen
Mittelfristige Planung und Priorisierung
Ressourcensteuerung (Budget, Personal)
Entscheidungs- und Beschlussfassungen 
Organisations- und Veränderungsthemen </t>
  </si>
  <si>
    <t>Informationsveranstaltung</t>
  </si>
  <si>
    <t xml:space="preserve">Protokoll </t>
  </si>
  <si>
    <t xml:space="preserve">BR </t>
  </si>
  <si>
    <t xml:space="preserve">2 Tage, Tag 1: Standortbestimmung (KPIs, Projekte, Strategie), strategische Ausrichtung und Zielschärfung, Ressourcen- und Kapazitätensteuerung, Bereichsübergreifende Zusammenarbeit, Kennzahlen und Zielerreichungen, Vertiefung kritischer Themen, zentrale Herausforderungen und Risiken ( Ressourcen, Risiken), Strategische Weiterentwicklung (Ziele, Organisation, Innovation),
Reflexion &amp; Zusammenarbeit im Führungskreis
Ableitung konkreter Maßnahmen und Entscheidungen                              Tag 2: Projekte: Vorstellung, Status, zentrale Herausforderungen und Risiken, Priorisierung, </t>
  </si>
  <si>
    <t>halbjährlich</t>
  </si>
  <si>
    <t>Ergebnispräsentation</t>
  </si>
  <si>
    <t>Referateklausurtagung</t>
  </si>
  <si>
    <t>Rückblick auf das vergangene Halbjahr (Referatsarbeit gesamt)
Stand und Entwicklung zentraler Themen / Initiativen
Abstimmung referatsübergreifender Themen
Reflexion der Zusammenarbeit (inkl. A³Team)
Identifikation von Schnittstellenproblemen
Priorisierung von Themen für das kommende Halbjahr
Weiterentwicklung von Prozessen und Standards
Austausch von Best Practices zwischen Referaten, Kommunikation und Informationsflüsse
Umgang mit bereichsübergreifenden Projekten
Innovation und Weiterentwicklung von Themenfeldern
Klärung von Zuständigkeiten bei Querschnittsthemen
Transparenz über laufende Aktivitäten</t>
  </si>
  <si>
    <t xml:space="preserve">Ergebnispräsentation </t>
  </si>
  <si>
    <t>Nur in der Anfangszeit, mittelfristig nicht notwendig</t>
  </si>
  <si>
    <t>7h</t>
  </si>
  <si>
    <t>Referatsmitarbeitende</t>
  </si>
  <si>
    <t>Sekretariat</t>
  </si>
  <si>
    <t>After Work</t>
  </si>
  <si>
    <t>bewusst nicht-inhaltlich orientiertes Begegnungsformat                       Im Mittelpunkt steht  die zwischenmenschliche Beziehungsebene und die Zusammenarbeit über Bereichsgrenzen hinweg stärken.
Das Format dient als soziale Infrastruktur der Organisation Persönliches Kennenlernen über Bereichsgrenzen hinweg
Aufbau von Vertrauen und informellen Beziehungen
Förderung von Netzwerken innerhalb der Organisation
Stärkung des „Wir-Gefühls“ auf Leitungsebene und im erweiterten Führungskreis
Erleichterung zukünftiger Zusammenarbeit durch persönliche Bekanntheit</t>
  </si>
  <si>
    <t>Leitungskäfte</t>
  </si>
  <si>
    <t>quartalsweise</t>
  </si>
  <si>
    <t>Das Format kann variieren: bietet immer einen sozialen Rahmen Leitungskräfte bis Ebene PDL</t>
  </si>
  <si>
    <t>individuell</t>
  </si>
  <si>
    <t>Führung im Dialog: Strategie und Zusammenarbeit (stationär)</t>
  </si>
  <si>
    <t>Tag 1 (½ Tag): Strategie &amp; Steuerung
Ziel: Gemeinsame Ausrichtung, Prioritätenklärung, Steuerungsfähigkeit
Inhalte:
Review der strategischen Gesamtlage
Abgleich strategischer Ziele GF / GBL / EL / Referate
Priorisierung zentraler Handlungsfelder
Klärung von Zielkonflikten (Ressourcen, Zuständigkeiten, Erwartungen)
Ableitung operativer Schwerpunkte 
Entscheidungspunkte                                                                                     Tag 2 (1 Tag): Teamentwicklung &amp; Zusammenarbeit
Ziel: Stärkung der Führungskooperation und Klarheit in der Zusammenarbeit
Inhalte:
Standortbestimmung Zusammenarbeit Leitungsebene / Teambuilding
Rollen- und Schnittstellenklärung
Erwartungsklärung zwischen Führungsebenen
Entscheidungslogiken &amp; Eskalationswege
Kommunikations- und Abstimmungsformate (z. B. Check der Matrizen)
Umgang mit Spannungen / Konflikten in der Organisation
Zusammenarbeit im „Führungssystem“</t>
  </si>
  <si>
    <t>jährlich</t>
  </si>
  <si>
    <t>Workshop</t>
  </si>
  <si>
    <t>Das Format setzt sich zusammen aus einem Strategieteil und einem Teamentwicklungsteil, entsprechend variiert die Ausgestaltung</t>
  </si>
  <si>
    <t>Statusmeeting (Projektbezogen)</t>
  </si>
  <si>
    <t xml:space="preserve">Projektstatus (Zeit, Budget, Hemmnisse)
Fortschritt gegenüber Meilensteinen
Risiken und Notwendigkeiten inkl. Maßnahmen
Abhängigkeiten und Schnittstellen
Offene Punkte / ToDos
Änderungsbedarfe </t>
  </si>
  <si>
    <t>Projektleitung</t>
  </si>
  <si>
    <t>Projektgruppe</t>
  </si>
  <si>
    <t>Protokoll</t>
  </si>
  <si>
    <t>in Bearbeitung</t>
  </si>
  <si>
    <t>Kernteam</t>
  </si>
  <si>
    <t>1h</t>
  </si>
  <si>
    <t>Projektmeeting</t>
  </si>
  <si>
    <t>Bearbeitung konkreter Arbeitspakete
Fachliche Abstimmungen / Detailklärungen
Erarbeitung von Lösungen / Konzepten
Abstimmung von Zwischenergebnissen
Vorbereitung von Entscheidungen
Klärung von Schnittstellen im Projektteam</t>
  </si>
  <si>
    <t>zweiwöchentlich</t>
  </si>
  <si>
    <t>Steuerkreis,                 allgemeine Beschreibung</t>
  </si>
  <si>
    <r>
      <t xml:space="preserve">Gesamtstatus /Umsetzung
Zielerreichung, Kritische Risiken und Eskalationen
Grundsatzentscheidungen (Budget, Zeit)                                                                                                                                                                                                                                                                                                                                                                                                                    </t>
    </r>
    <r>
      <rPr>
        <sz val="11"/>
        <color theme="4" tint="-0.499984740745262"/>
        <rFont val="Calibri"/>
        <family val="2"/>
        <scheme val="minor"/>
      </rPr>
      <t xml:space="preserve"> Projektinitiierung</t>
    </r>
    <r>
      <rPr>
        <sz val="11"/>
        <color theme="1"/>
        <rFont val="Calibri"/>
        <family val="2"/>
        <scheme val="minor"/>
      </rPr>
      <t xml:space="preserve">
Priorisierung auf Portfolioebene
Freigaben von Meilensteinen / Phasen
Richtungsentscheidungen</t>
    </r>
  </si>
  <si>
    <r>
      <t>Einbezug MAV,</t>
    </r>
    <r>
      <rPr>
        <sz val="11"/>
        <color theme="8" tint="-0.249977111117893"/>
        <rFont val="Calibri"/>
        <family val="2"/>
        <scheme val="minor"/>
      </rPr>
      <t xml:space="preserve"> in Bearbeitung</t>
    </r>
  </si>
  <si>
    <t>3h</t>
  </si>
  <si>
    <t>Steuerkreis Personal</t>
  </si>
  <si>
    <t xml:space="preserve">Grundsatzentscheidung,  Umsetzungsentscheidungen, konzeptionelle und strategische  Entscheidungen und festlegen von Zielen, Zielwerten mit Ampelsystem und Eskalationsschnitte bei Abweichungen zu Personalkernthemen aus Klausur
1.Personalgewinnung/Recruiting - Standards, Kampagnen, Reporting, Kennzahlen mit Zielwerten/Frühwarnindikatoren plus Ampel festlegen, Tools und Bewerberplattform, Schulung / Rollout abstimmen , Unterstützung bei Arbeitgeberpositionierung - normative Anforderung + konzeptionelle und strategische Entscheidungen im Abgleich mit den Vorgaben im EVAR , Übernahmemanagement Azubis, Planung Bedarfe Azubis, Schulkooperation, Abstimmung zu Messen/ Nachwuchsformate  
2. Personalbindung - Rahmen, Standards, zentrale Kommunikation, BGM, Benefits, On-und Offboarding, Tools  und Plattform , Schulungsbedarfe abstimmen, Kennzahlen mit Zielwerten/Frühwarnindikatoren plus Ampel festlegen , normative Anforderung + konzeptionelle und strategische Entscheidungen im Abgleich mit den Vorgaben im EVAR    3. Personaleinsatz und Personalsteuerung - Kennzahlen mit Zielwerten/Frühwarnindikatoren plus Ampel festlegen,  Reporting, Tools , EasyBudget, Schulungsbedarfe abstimmen, Ursachenanalyse im Kontext Personalsteuerung, konzeptionelle und strategische Entscheidungen im Abgleich mit den Vorgaben im EVAR   4. Personalentwicklung und FK-Entwicklung - Abstimmungen zu Programmentwicklung , Fort- und Weiterbildung, Lernplattformen, Plattform, Schulungsbedarfe abstimmen, gesellschaftsübergreifende Karrierepfade abstimmen,   konzeptionelle und strategische Entscheidungen im Abgleich mit den Vorgaben im EVAR, Kennzahlen, Weiterentwicklung PA   5. PoolSpringer - Abstimmungen zum Ausbau und zur strategische Weiterentwicklung  6. Ehrenamt - Abstimmungen  zu Rahmen/Compliance, übergreifende Anerkennungsveranstaltungen  - sonst in den Einrichtungen verortet  </t>
  </si>
  <si>
    <t xml:space="preserve">Verantwortlicher / Initiator: plus Referent*in aus dem Team und optional Geschäftsführer  </t>
  </si>
  <si>
    <t>Steuerkreis Wirtschaft &amp; Finanzen</t>
  </si>
  <si>
    <t>Berichtswesen, Erläutertung der Kennzahlen, Steuerungspotentiale erkennen und Maßnahmen ableiten</t>
  </si>
  <si>
    <t>Protokoll/ Versand Berichtswesen</t>
  </si>
  <si>
    <t>Teamleitung LA hinzunehmen als TN? Wird noch entschieden</t>
  </si>
  <si>
    <t>CO ALH</t>
  </si>
  <si>
    <t>JF Immobilienverwaltung</t>
  </si>
  <si>
    <t>Absprachen Immobilienverwaltung/ Referat Finanzen ALH</t>
  </si>
  <si>
    <t>TL Immobilienverwaltung</t>
  </si>
  <si>
    <t>Steuerkreis Fuhrpark ambulant</t>
  </si>
  <si>
    <t>Statusupdate übergeordneter Fuhrparkthemen / Update For</t>
  </si>
  <si>
    <t>GBL amb</t>
  </si>
  <si>
    <t>Leitung Fuhrparkmanagement</t>
  </si>
  <si>
    <t>MA Fuhrparkmanagement</t>
  </si>
  <si>
    <t>Teammeeting Ref. Fin</t>
  </si>
  <si>
    <t>Teambesprechung</t>
  </si>
  <si>
    <t>Steuerkreis Marketing und Vertrieb</t>
  </si>
  <si>
    <t>1. Controlling
Auslastungskennzahlen, Recare Analytics, Controlling vertriebliche Beratungen (Weiterleitungen, Neuaufnahmen, ...), Controlling vertriebliche Beratungen (Nicht mögliche Aufnahmen), Controlling Direktanfragen, Controlling von Werbemaßnahmen, Controlling Zuweiser*innen ambulante Pflege, "Pflege" der Wartelisten
2. Angebot
Information Angebotsentwicklung, Information Angebotsschärfung, Marktbeobachtung (Welche Angebote werden angefragt, die wir aktuell nicht bedienen können?)
3. Vertrieb
Information Vertriebsprojekte, Kundenzufriedenheitsbefragung, Netzwerkarbeit
4. Öffentlichkeitsarbeit
Marktbeobachtung, Vorstellung Projekte durch Referate und UK, ÖA-Ideen aus den GBLen, Social-Media-Kampagnen, Materialerstellung, Website-Weiterentwicklung, Anzeigenschaltung und Werbekampagnen
5. Beratung
Aufbau EVA-Ruhr-Beratungsteam
6.  
Bericht aus der Fachgruppe "Aufnahmen, Überleitungen und Entlassungen</t>
  </si>
  <si>
    <t>Strategische Ausrichtung der Fachbereichskommunikation im Steuerkreis alle 3 Monate zus. Teilnehmende: GF, SBO,FB ALH, UK DR, UK EVA Ruhr,GBL (fakultativ ohne GBL-&gt; Einladung an Thementräger) , strategische Ausrichtung, pro Geschäftsbereich ein TN / Vertreter (GBL oder EL), konkrete Ausgestaltung (z.B. einzelner Werbemaßnahmen) wie gehabt im monatlichen JourFix mit der UK und Teilnahme des Referats</t>
  </si>
  <si>
    <t>Jour Fixe Marketing und Vertrieb</t>
  </si>
  <si>
    <t>Informationsstatus aus aktuellen Projekten,  Abstimmung prospektive Themen / Rückmeldungen  / Kollegiale Entscheidungsberatung / neue Projekte anstoßen</t>
  </si>
  <si>
    <t>Steuerkreis Regulatorik-QM</t>
  </si>
  <si>
    <t xml:space="preserve">Abstimmung prospektiver Themen /  Rückmeldungen Hygiene / Hauswirtschaft, Vertragsmanagement, Krisenmanagement, Prozesse: Optimierungsbedarf (im Kontext interner-externer Audits und Prüfinstanzen)-; Absprachen rechtlicher Problemstellungen; </t>
  </si>
  <si>
    <t>alle 2 Monate</t>
  </si>
  <si>
    <t>SBO</t>
  </si>
  <si>
    <t>Jour fixe Regulatorik-QM (Status_ Umsetzungsupgrade aktuelle QMH-/ Vivendi Bearbeitungen)</t>
  </si>
  <si>
    <t xml:space="preserve"> Pflegefachliche Qualitätssicherstellung z.B. Auditierungen &amp; Prüfbehörden</t>
  </si>
  <si>
    <t xml:space="preserve">JF QZ ambulant; JF mit Moduladmins, </t>
  </si>
  <si>
    <t>Workshop PDLs</t>
  </si>
  <si>
    <t>Steuerkreis QM- stationär (QMH) - Pflegefachliche Qualitätssicherstellung von Ziel- und Kernprozessen, Abgleich aus internen / externen Audits</t>
  </si>
  <si>
    <t>AK PDL stationär mit Referat Personales, MAV und Weitere (themenbezogen); Qualitätsmanagement &amp; Controlling: z. B. Entwicklung Kennzahlen Dashboard,
das einheitlich und übergeordnet ist;  Entwicklung &amp; Weiterentwicklung unter Einbezug / Vernetzung mit SBO 
fachlicher Versorgungsschwerpunkte</t>
  </si>
  <si>
    <t>Steuerkreis zQM, Vivendi Administration</t>
  </si>
  <si>
    <t>zQM, Vivendi Administration: Vernetzung / Verzahnung QM+ Regulatorik-Aspekten</t>
  </si>
  <si>
    <t>FBA mit SBO; MAV (situativ)</t>
  </si>
  <si>
    <t>Mitarbeiterjahresgespräch, einzeln</t>
  </si>
  <si>
    <t>Rückblick auf Zielerreichung des Geschäftsbereichs
Bewertung der strategischen Entwicklung des Bereichs Führungsleistung und Steuerungswirksamkeit der GBL, Zusammenarbeit mit GF und anderen GBLs,
Zielvereinbarungen für das kommende Jahr,
Prioritäten und strategische Initiativen</t>
  </si>
  <si>
    <t>Auf Wunsch eines SBO-Beschäftigten kann an jedem Gespräch ein BR-Mitglied seiner Wahl an jedem Gespräch teilnehmen. (§ 82 Abs. 2 BetrVG)</t>
  </si>
  <si>
    <t>Zielerreichung und Leistung
Qualität der Unterstützungsleistungen für die Organisation
Umsetzung zentraler Vorgaben und Initiativen
Zusammenarbeit mit GBLs und anderen Referaten
Beitrag zur Organisationsentwicklung
Identifikation von Optimierungspotenzialen
Ziel- und Maßnahmenplanung für das Folgejahr Serviceverständnis vs. Steuerungsanspruch,
Effizienz und Wirksamkeit der Prozesse
Digitalisierung / Standardisierung</t>
  </si>
  <si>
    <t>Zielerreichung der Einrichtung
Qualität der Leistung / Angebote
Wirtschaftliche Entwicklung (falls relevant)
Personalsituation und -führung
Umsetzung von Vorgaben und Standards
Zusammenarbeit mit dem Geschäftsbereich
Herausforderungen im operativen Betrieb
Zielvereinbarungen für das Folgejahr,  Weiterentwicklung der Einrichtung
Qualitätssicherung und -entwicklung
Umgang mit externen Anforderungen
Führungsverständnis und Rolle als EL</t>
  </si>
  <si>
    <t>Rückblick auf individuelle Zielerreichung
Aufgaben- und Rollenreflexion
Qualität der Arbeitsergebnisse
Zusammenarbeit im Team und mit Schnittstellen
Feedback in beide Richtungen
Vereinbarung individueller Ziele
Personalentwicklung / Qualifizierungsbedarfe, Motivation und Zufriedenheit
Arbeitsorganisation und Belastung</t>
  </si>
  <si>
    <t xml:space="preserve">A³Team </t>
  </si>
  <si>
    <t>Teammeeting A³ Team</t>
  </si>
  <si>
    <t>Verdichteter Status aus den Mandaten und Projekten
Kritische Themen / Risiken / Eskalationen
Entscheidungsbedarfe an die Teamleitung
Ressourcen- und Kapazitätsengpässe
Abstimmung prospektiver Themen
Rückmeldungen / Vorgaben der Teamleitung                                                                        Best practice und Lesson learned</t>
  </si>
  <si>
    <t xml:space="preserve">Teamentwicklung  A³ Team </t>
  </si>
  <si>
    <t xml:space="preserve">Rollen- und Aufgabenklärung, Erwartungsklärung, Ziele und Ausrichtung, Analyse von Zusammenarbeit und Prozessen, Transparenz bzgl. Kommunikationsverhalten, konstruktiver Umgang mit Konflikten, Stärkung der Eigenverantwortung im Team, Klärung von Verantwortungs- und Entscheidungslogiken, Förderung von Feedback- und Lernkultur </t>
  </si>
  <si>
    <t>Miroboard</t>
  </si>
  <si>
    <t>6h</t>
  </si>
  <si>
    <t>Entwicklung der ambulanten Angebote und Leistungen
Auslastung und Kapazitätssteuerung
Wirtschaftliche Entwicklung und Kennzahlen
Personal- und Fachkräftesituation
Qualitätsentwicklung und Standards
Abstimmung bereichsübergreifender Themen
Strategische Weiterentwicklung ambulanter Angebote
Gesetzliche / regulatorische Entwicklungen
Risiken, Herausforderungen und Eskalationsthemen
Markt- und Wettbewerbsentwicklung
Schnittstellen zu stationären Angeboten
Einheitliche Steuerungs- und Qualitätslogiken
Innovationen in der ambulanten Versorgung</t>
  </si>
  <si>
    <t>ggf Quartalsweise</t>
  </si>
  <si>
    <t>JF Culina, MIR, DfM, ApD</t>
  </si>
  <si>
    <t>Aktueller Betriebsstatus und Auslastung
Personalsituation und Einsatzplanung
Qualität der Leistungserbringung
Schnittstellen zu Einrichtungen / Bereichen
Operative Herausforderungen und Engpässe
Abstimmung von Abläufen und Standards
Beschwerden / Rückmeldungen aus den Einrichtungen
Hygiene-, Sicherheits- oder Qualitätsanforderungen
Kurzfristige Maßnahmen und Prioritäten</t>
  </si>
  <si>
    <r>
      <t>ggf Bündelung in Unterstützungsdienste dann mit GBL</t>
    </r>
    <r>
      <rPr>
        <sz val="11"/>
        <color rgb="FFFF0000"/>
        <rFont val="Calibri"/>
        <family val="2"/>
        <scheme val="minor"/>
      </rPr>
      <t xml:space="preserve">  BR auch bei personellen Angelegenheiten von SBO-Beschäftigten</t>
    </r>
  </si>
  <si>
    <t>jeweils 1,5h</t>
  </si>
  <si>
    <t>JF MAVen und BR</t>
  </si>
  <si>
    <t>Aktuelle organisationsrelevante Entwicklungen
Personalthemen und personelle Veränderungen
Geplante organisatorische Maßnahmen
Arbeitsbedingungen und Belastungssituationen
Umsetzung gesetzlicher / mitbestimmungsrelevanter Themen
Frühzeitige Information zu Veränderungsvorhaben
Rückmeldungen und Anliegen aus der Mitarbeiterschaft
Konflikt- oder Eskalationsthemen
Abstimmung zu Beteiligungs- und Kommunikationsprozessen</t>
  </si>
  <si>
    <t>Zeit für Info</t>
  </si>
  <si>
    <t>Aktuelle Entwicklungen in der Organisation
Strategische Vorhaben und Veränderungen
Informationen zu Projekten und Initiativen
Erfolge, Meilensteine und wichtige Ereignisse
Veränderungen im Organisationsmodell
Informationen der Geschäftsführung
Möglichkeit für Fragen und Rückmeldungen
Ausblick auf kommende Themen und Vorhaben</t>
  </si>
  <si>
    <t>Wirtschaftsaussschuss SBO</t>
  </si>
  <si>
    <t>1x Monate gewählte Mitglieder des Wirtschaftsausschusses mit Geschäftsführung oder seine benannten und entscheidungsbefugten Personen</t>
  </si>
  <si>
    <t>zweimonatlich; zunächst befristet auf
6 Monate; Neubewertung 02/2027 Präsenz oder Teams nach Abstimmung;</t>
  </si>
  <si>
    <t>Ergebnisprotokoll</t>
  </si>
  <si>
    <t>Weiterentwicklung der Zusammenarbeit im Rahmen der Implementierung des neuen Organisationsmodells</t>
  </si>
  <si>
    <t>GBL-Konferenz stationär</t>
  </si>
  <si>
    <t>Kollegiale Beratung und Austausch</t>
  </si>
  <si>
    <t xml:space="preserve"> keine gesonderte Dokumentation festgelegt</t>
  </si>
  <si>
    <t>Kollegiale Beratung und Austausch in Präsenz</t>
  </si>
  <si>
    <t>Wochenbesprechung</t>
  </si>
  <si>
    <t>Stimmungsbild</t>
  </si>
  <si>
    <t>Arbeitskreis soziale Dienste</t>
  </si>
  <si>
    <t>Arbeitskreis BVP</t>
  </si>
  <si>
    <t>Betriebsversammlungen</t>
  </si>
  <si>
    <t>Betriebsrat</t>
  </si>
  <si>
    <t>Die bestehenden Gesprächsstrukturen der SBO müssen thematisch mit den jeweiligen Referaten der Diakonie Ruhr abgeglichen und harmonisiert werden</t>
  </si>
  <si>
    <t>Gesprächsstruktur innerhalb der Geschäftsbereiche und zwischen den Geschäftsbereichen, muss noch entwickelt werden ( mit den jeweiligen GBLs), inkl. Inhaltliche Ausgestaltung und Beteiligungsformate (fachbereichsintern und einrichtungsbezogen)</t>
  </si>
  <si>
    <r>
      <t xml:space="preserve">sowie dann auch Einrichtungsebene betreffend (Regeltermine unter Einbezug MAV / </t>
    </r>
    <r>
      <rPr>
        <sz val="11"/>
        <color rgb="FFFF0000"/>
        <rFont val="Calibri"/>
        <family val="2"/>
        <scheme val="minor"/>
      </rPr>
      <t>BR</t>
    </r>
    <r>
      <rPr>
        <sz val="11"/>
        <color theme="1"/>
        <rFont val="Calibri"/>
        <family val="2"/>
        <scheme val="minor"/>
      </rPr>
      <t>)</t>
    </r>
  </si>
  <si>
    <t>Bezug zum Organisationssystem</t>
  </si>
  <si>
    <t>Spalte1</t>
  </si>
  <si>
    <t>beteiligte Rolle</t>
  </si>
  <si>
    <t>Teilprojektleitungen</t>
  </si>
  <si>
    <t>Verantwortlicher / Initiator</t>
  </si>
  <si>
    <t>Teilprojektleitung</t>
  </si>
  <si>
    <t>Verteiler / Teilnehmer</t>
  </si>
  <si>
    <t>Terminfrequenz</t>
  </si>
  <si>
    <t>Kommunikationsformat</t>
  </si>
  <si>
    <t>Inhalt</t>
  </si>
  <si>
    <t>Abstimmung / Koordination</t>
  </si>
  <si>
    <t>operative Steuerung</t>
  </si>
  <si>
    <t>strategische Ausrichtung</t>
  </si>
  <si>
    <t>Reporting / Status</t>
  </si>
  <si>
    <t>Planung / Priorisierung / Reflexion</t>
  </si>
  <si>
    <t>Informationsweitergabe / Wissensaustausch</t>
  </si>
  <si>
    <t>Jour Fix Wirtschaft und Finanzen</t>
  </si>
  <si>
    <t>Jour Fix Referat QM und Regulatorik</t>
  </si>
  <si>
    <t>GBL-Klausurtagung</t>
  </si>
  <si>
    <t>13h</t>
  </si>
  <si>
    <t xml:space="preserve">13h </t>
  </si>
  <si>
    <t>Monatsgespräch GBL/BR SBO/MAV</t>
  </si>
  <si>
    <t>Referat</t>
  </si>
  <si>
    <t>Referat / Sekretariat</t>
  </si>
  <si>
    <t>Inhalte siehe MA Jahresgespräch, einzeln: Referat / Referatsmitarbeitende</t>
  </si>
  <si>
    <t xml:space="preserve">Referat </t>
  </si>
  <si>
    <t>Gäste nach Themen, themenbezogene Einladung von Thementrägern, perspektivisch Referat eher themenspezifisch einzubeziehen (ist zu reflektieren), ggf zukünftig quartalsweise</t>
  </si>
  <si>
    <t>noch offen</t>
  </si>
  <si>
    <t>darin enthaten: 20 Minuten Poolspringer, 5 Minuten Wechsel (Referat / Poolspringer)</t>
  </si>
  <si>
    <t>Jour fixe  A³-Team</t>
  </si>
  <si>
    <t>A³-Team</t>
  </si>
  <si>
    <t>Referatsvertreter</t>
  </si>
  <si>
    <t>Referatsvertreter / Thementräger</t>
  </si>
  <si>
    <t>Referat QM &amp; Regulatorik</t>
  </si>
  <si>
    <t>Leitungskonferenz, ambulant</t>
  </si>
  <si>
    <t>2 h</t>
  </si>
  <si>
    <t>3 h</t>
  </si>
  <si>
    <t>1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</si>
</sst>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scheme val="minor"/>
    </font>
    <font>
      <sz val="11"/>
      <name val="Calibri"/>
      <family val="2"/>
      <scheme val="minor"/>
    </font>
    <font>
      <sz val="11"/>
      <color theme="8" tint="-0.249977111117893"/>
      <name val="Calibri"/>
      <family val="2"/>
      <scheme val="minor"/>
    </font>
    <font>
      <b/>
      <sz val="11"/>
      <name val="Calibri"/>
      <family val="2"/>
      <scheme val="minor"/>
    </font>
    <font>
      <sz val="11"/>
      <color theme="4" tint="-0.499984740745262"/>
      <name val="Calibri"/>
      <family val="2"/>
      <scheme val="minor"/>
    </font>
    <font>
      <sz val="11"/>
      <color rgb="FFFF0000"/>
      <name val="Calibri"/>
      <family val="2"/>
      <scheme val="minor"/>
    </font>
    <font>
      <b/>
      <sz val="11"/>
      <color rgb="FFFF0000"/>
      <name val="Calibri"/>
      <family val="2"/>
      <scheme val="minor"/>
    </font>
    <font>
      <sz val="11"/>
      <color theme="9" tint="-0.249977111117893"/>
      <name val="Calibri"/>
      <family val="2"/>
      <scheme val="minor"/>
    </font>
    <font>
      <sz val="11"/>
      <color theme="9" tint="-0.499984740745262"/>
      <name val="Calibri"/>
      <family val="2"/>
      <scheme val="minor"/>
    </font>
    <font>
      <b/>
      <sz val="11"/>
      <color theme="8" tint="-0.249977111117893"/>
      <name val="Calibri"/>
      <family val="2"/>
      <scheme val="minor"/>
    </font>
    <font>
      <b/>
      <sz val="11"/>
      <color theme="4" tint="-0.499984740745262"/>
      <name val="Calibri"/>
      <family val="2"/>
      <scheme val="minor"/>
    </font>
    <font>
      <b/>
      <sz val="11"/>
      <color theme="8" tint="-0.499984740745262"/>
      <name val="Calibri"/>
      <family val="2"/>
      <scheme val="minor"/>
    </font>
    <font>
      <sz val="11"/>
      <color theme="8" tint="-0.499984740745262"/>
      <name val="Calibri"/>
      <family val="2"/>
      <scheme val="minor"/>
    </font>
    <font>
      <sz val="11"/>
      <color rgb="FF0070C0"/>
      <name val="Calibri"/>
      <family val="2"/>
    </font>
    <font>
      <sz val="11"/>
      <color rgb="FF0070C0"/>
      <name val="Calibri"/>
      <family val="2"/>
      <scheme val="minor"/>
    </font>
    <font>
      <b/>
      <sz val="11"/>
      <color rgb="FF0070C0"/>
      <name val="Calibri"/>
      <family val="2"/>
      <scheme val="minor"/>
    </font>
    <font>
      <b/>
      <sz val="10"/>
      <color rgb="FFFFFFFF"/>
      <name val="Calibri"/>
      <family val="2"/>
    </font>
    <font>
      <b/>
      <sz val="10"/>
      <color rgb="FF000000"/>
      <name val="Calibri"/>
      <family val="2"/>
    </font>
    <font>
      <sz val="10"/>
      <color rgb="FF000000"/>
      <name val="Calibri"/>
      <family val="2"/>
    </font>
  </fonts>
  <fills count="21">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EDBFF9"/>
        <bgColor indexed="64"/>
      </patternFill>
    </fill>
    <fill>
      <patternFill patternType="solid">
        <fgColor theme="7" tint="0.59999389629810485"/>
        <bgColor indexed="64"/>
      </patternFill>
    </fill>
    <fill>
      <patternFill patternType="solid">
        <fgColor rgb="FF5B2C83"/>
        <bgColor indexed="64"/>
      </patternFill>
    </fill>
    <fill>
      <patternFill patternType="solid">
        <fgColor rgb="FFC8E6C9"/>
        <bgColor indexed="64"/>
      </patternFill>
    </fill>
    <fill>
      <patternFill patternType="solid">
        <fgColor rgb="FFFFE0B2"/>
        <bgColor indexed="64"/>
      </patternFill>
    </fill>
    <fill>
      <patternFill patternType="solid">
        <fgColor rgb="FFFFCDD2"/>
        <bgColor indexed="64"/>
      </patternFill>
    </fill>
    <fill>
      <patternFill patternType="solid">
        <fgColor rgb="FFB71C1C"/>
        <bgColor indexed="64"/>
      </patternFill>
    </fill>
    <fill>
      <patternFill patternType="solid">
        <fgColor rgb="FFECEFF1"/>
        <bgColor indexed="64"/>
      </patternFill>
    </fill>
    <fill>
      <patternFill patternType="solid">
        <fgColor rgb="FFB3E5FC"/>
        <bgColor indexed="64"/>
      </patternFill>
    </fill>
    <fill>
      <patternFill patternType="solid">
        <fgColor rgb="FFE0E0E0"/>
        <bgColor indexed="64"/>
      </patternFill>
    </fill>
    <fill>
      <patternFill patternType="solid">
        <fgColor rgb="FFF3E5F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right/>
      <top/>
      <bottom style="thin">
        <color indexed="64"/>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553">
    <xf numFmtId="0" fontId="0" fillId="0" borderId="0" xfId="0"/>
    <xf numFmtId="0" fontId="0" fillId="0" borderId="0" xfId="0" applyAlignment="1">
      <alignment wrapText="1"/>
    </xf>
    <xf numFmtId="0" fontId="0" fillId="0" borderId="1" xfId="0" applyBorder="1" applyAlignment="1">
      <alignment horizontal="left" wrapText="1"/>
    </xf>
    <xf numFmtId="0" fontId="0" fillId="0" borderId="1" xfId="0" applyBorder="1"/>
    <xf numFmtId="0" fontId="0" fillId="0" borderId="1" xfId="0" applyBorder="1" applyAlignment="1">
      <alignment horizontal="left"/>
    </xf>
    <xf numFmtId="0" fontId="0" fillId="0" borderId="1" xfId="0" applyBorder="1" applyAlignment="1">
      <alignment horizontal="left" vertical="top" wrapText="1"/>
    </xf>
    <xf numFmtId="0" fontId="1" fillId="0" borderId="0" xfId="0" applyFont="1"/>
    <xf numFmtId="0" fontId="0" fillId="0" borderId="5" xfId="0" applyBorder="1"/>
    <xf numFmtId="0" fontId="0" fillId="2" borderId="6" xfId="0" applyFill="1" applyBorder="1" applyAlignment="1">
      <alignment vertical="top" wrapText="1"/>
    </xf>
    <xf numFmtId="0" fontId="0" fillId="3" borderId="6" xfId="0" applyFill="1" applyBorder="1" applyAlignment="1">
      <alignment wrapText="1"/>
    </xf>
    <xf numFmtId="0" fontId="0" fillId="4" borderId="6" xfId="0" applyFill="1" applyBorder="1" applyAlignment="1">
      <alignment wrapText="1"/>
    </xf>
    <xf numFmtId="0" fontId="0" fillId="0" borderId="7" xfId="0" applyBorder="1"/>
    <xf numFmtId="0" fontId="0" fillId="0" borderId="9" xfId="0" applyBorder="1" applyAlignment="1">
      <alignment horizontal="left" wrapText="1"/>
    </xf>
    <xf numFmtId="0" fontId="0" fillId="0" borderId="10" xfId="0" applyBorder="1" applyAlignment="1">
      <alignment horizontal="left"/>
    </xf>
    <xf numFmtId="0" fontId="0" fillId="0" borderId="10" xfId="0" applyBorder="1" applyAlignment="1">
      <alignment horizontal="left" wrapText="1"/>
    </xf>
    <xf numFmtId="0" fontId="0" fillId="4" borderId="9" xfId="0" applyFill="1" applyBorder="1" applyAlignment="1">
      <alignment horizontal="left" wrapText="1"/>
    </xf>
    <xf numFmtId="0" fontId="0" fillId="4" borderId="1" xfId="0" applyFill="1" applyBorder="1" applyAlignment="1">
      <alignment horizontal="left" vertical="top" wrapText="1"/>
    </xf>
    <xf numFmtId="0" fontId="0" fillId="4" borderId="1" xfId="0" applyFill="1" applyBorder="1" applyAlignment="1">
      <alignment horizontal="left"/>
    </xf>
    <xf numFmtId="0" fontId="0" fillId="4" borderId="10" xfId="0" applyFill="1" applyBorder="1" applyAlignment="1">
      <alignment horizontal="left"/>
    </xf>
    <xf numFmtId="0" fontId="0" fillId="4" borderId="1" xfId="0" applyFill="1" applyBorder="1" applyAlignment="1">
      <alignment horizontal="left" wrapText="1"/>
    </xf>
    <xf numFmtId="0" fontId="0" fillId="0" borderId="1" xfId="0" applyBorder="1" applyAlignment="1">
      <alignment horizontal="center"/>
    </xf>
    <xf numFmtId="0" fontId="0" fillId="4" borderId="1" xfId="0" applyFill="1" applyBorder="1" applyAlignment="1">
      <alignment horizontal="center"/>
    </xf>
    <xf numFmtId="0" fontId="0" fillId="0" borderId="4" xfId="0"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1" fillId="4" borderId="13" xfId="0" applyFont="1" applyFill="1" applyBorder="1" applyAlignment="1">
      <alignment wrapText="1"/>
    </xf>
    <xf numFmtId="0" fontId="0" fillId="4" borderId="14" xfId="0" applyFill="1" applyBorder="1"/>
    <xf numFmtId="0" fontId="0" fillId="4" borderId="15" xfId="0" applyFill="1" applyBorder="1"/>
    <xf numFmtId="0" fontId="1" fillId="6" borderId="13" xfId="0" applyFont="1" applyFill="1" applyBorder="1"/>
    <xf numFmtId="0" fontId="0" fillId="6" borderId="14" xfId="0" applyFill="1" applyBorder="1"/>
    <xf numFmtId="0" fontId="0" fillId="6" borderId="15" xfId="0" applyFill="1" applyBorder="1"/>
    <xf numFmtId="0" fontId="0" fillId="4" borderId="2" xfId="0" applyFill="1" applyBorder="1" applyAlignment="1">
      <alignment horizontal="left"/>
    </xf>
    <xf numFmtId="0" fontId="0" fillId="5" borderId="0" xfId="0" applyFill="1"/>
    <xf numFmtId="0" fontId="0" fillId="5" borderId="1" xfId="0" applyFill="1" applyBorder="1" applyAlignment="1">
      <alignment vertical="center"/>
    </xf>
    <xf numFmtId="0" fontId="0" fillId="5" borderId="1" xfId="0" applyFill="1" applyBorder="1" applyAlignment="1">
      <alignment vertical="center" wrapText="1"/>
    </xf>
    <xf numFmtId="0" fontId="0" fillId="5" borderId="1" xfId="0" applyFill="1" applyBorder="1"/>
    <xf numFmtId="0" fontId="0" fillId="4" borderId="10" xfId="0" applyFill="1" applyBorder="1" applyAlignment="1">
      <alignment horizontal="left" wrapText="1"/>
    </xf>
    <xf numFmtId="0" fontId="0" fillId="4" borderId="2" xfId="0" applyFill="1" applyBorder="1" applyAlignment="1">
      <alignment horizontal="left" wrapText="1"/>
    </xf>
    <xf numFmtId="0" fontId="0" fillId="0" borderId="1" xfId="0" applyBorder="1" applyAlignment="1">
      <alignment horizontal="center" wrapText="1"/>
    </xf>
    <xf numFmtId="0" fontId="0" fillId="4" borderId="1" xfId="0" applyFill="1" applyBorder="1" applyAlignment="1">
      <alignment horizontal="center" wrapText="1"/>
    </xf>
    <xf numFmtId="0" fontId="0" fillId="0" borderId="4" xfId="0" applyBorder="1" applyAlignment="1">
      <alignment vertical="center" wrapText="1"/>
    </xf>
    <xf numFmtId="0" fontId="0" fillId="0" borderId="19" xfId="0" applyBorder="1"/>
    <xf numFmtId="0" fontId="0" fillId="0" borderId="21" xfId="0" applyBorder="1"/>
    <xf numFmtId="0" fontId="0" fillId="4" borderId="4" xfId="0" applyFill="1" applyBorder="1" applyAlignment="1">
      <alignment horizontal="left" wrapText="1"/>
    </xf>
    <xf numFmtId="0" fontId="0" fillId="4" borderId="19" xfId="0" applyFill="1" applyBorder="1"/>
    <xf numFmtId="0" fontId="0" fillId="4" borderId="21" xfId="0" applyFill="1" applyBorder="1"/>
    <xf numFmtId="0" fontId="0" fillId="4" borderId="18" xfId="0" applyFill="1" applyBorder="1" applyAlignment="1">
      <alignment horizontal="left"/>
    </xf>
    <xf numFmtId="0" fontId="0" fillId="4" borderId="9" xfId="0" applyFill="1" applyBorder="1" applyAlignment="1">
      <alignment horizontal="left"/>
    </xf>
    <xf numFmtId="0" fontId="0" fillId="4" borderId="20" xfId="0" applyFill="1" applyBorder="1" applyAlignment="1">
      <alignment horizontal="left"/>
    </xf>
    <xf numFmtId="0" fontId="0" fillId="0" borderId="18" xfId="0" applyBorder="1" applyAlignment="1">
      <alignment horizontal="left"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18" xfId="0" applyBorder="1" applyAlignment="1">
      <alignment horizontal="left"/>
    </xf>
    <xf numFmtId="0" fontId="0" fillId="0" borderId="9" xfId="0" applyBorder="1" applyAlignment="1">
      <alignment horizontal="left"/>
    </xf>
    <xf numFmtId="0" fontId="0" fillId="0" borderId="20" xfId="0" applyBorder="1" applyAlignment="1">
      <alignment horizontal="left"/>
    </xf>
    <xf numFmtId="0" fontId="0" fillId="0" borderId="22" xfId="0" applyBorder="1" applyAlignment="1">
      <alignment horizontal="left" wrapText="1"/>
    </xf>
    <xf numFmtId="0" fontId="0" fillId="0" borderId="23" xfId="0" applyBorder="1" applyAlignment="1">
      <alignment horizontal="left" wrapText="1"/>
    </xf>
    <xf numFmtId="0" fontId="0" fillId="0" borderId="0" xfId="0" applyAlignment="1">
      <alignment horizontal="center"/>
    </xf>
    <xf numFmtId="0" fontId="0" fillId="4" borderId="1" xfId="0" applyFill="1" applyBorder="1"/>
    <xf numFmtId="0" fontId="0" fillId="4" borderId="1" xfId="0" applyFill="1" applyBorder="1" applyAlignment="1">
      <alignment wrapText="1"/>
    </xf>
    <xf numFmtId="0" fontId="0" fillId="0" borderId="1" xfId="0" applyBorder="1" applyAlignment="1">
      <alignment wrapText="1"/>
    </xf>
    <xf numFmtId="0" fontId="1" fillId="5" borderId="1" xfId="0" applyFont="1" applyFill="1" applyBorder="1"/>
    <xf numFmtId="0" fontId="1" fillId="5" borderId="1" xfId="0" applyFont="1" applyFill="1" applyBorder="1" applyAlignment="1">
      <alignment wrapText="1"/>
    </xf>
    <xf numFmtId="0" fontId="1" fillId="5" borderId="1" xfId="0" applyFont="1" applyFill="1" applyBorder="1" applyAlignment="1">
      <alignment horizontal="center" wrapText="1"/>
    </xf>
    <xf numFmtId="0" fontId="0" fillId="4" borderId="2" xfId="0" applyFill="1" applyBorder="1" applyAlignment="1">
      <alignment wrapText="1"/>
    </xf>
    <xf numFmtId="0" fontId="0" fillId="4" borderId="2" xfId="0" applyFill="1" applyBorder="1"/>
    <xf numFmtId="0" fontId="0" fillId="0" borderId="9" xfId="0" applyBorder="1" applyAlignment="1">
      <alignment wrapText="1"/>
    </xf>
    <xf numFmtId="0" fontId="0" fillId="0" borderId="10" xfId="0" applyBorder="1" applyAlignment="1">
      <alignment wrapText="1"/>
    </xf>
    <xf numFmtId="0" fontId="0" fillId="4" borderId="4" xfId="0" applyFill="1" applyBorder="1" applyAlignment="1">
      <alignment wrapText="1"/>
    </xf>
    <xf numFmtId="0" fontId="0" fillId="4" borderId="4" xfId="0" applyFill="1" applyBorder="1"/>
    <xf numFmtId="0" fontId="0" fillId="4" borderId="2" xfId="0" applyFill="1" applyBorder="1" applyAlignment="1">
      <alignment horizontal="center" wrapText="1"/>
    </xf>
    <xf numFmtId="0" fontId="0" fillId="4" borderId="2" xfId="0" applyFill="1" applyBorder="1" applyAlignment="1">
      <alignment horizontal="center"/>
    </xf>
    <xf numFmtId="0" fontId="0" fillId="0" borderId="23" xfId="0" applyBorder="1" applyAlignment="1">
      <alignment horizontal="center" wrapText="1"/>
    </xf>
    <xf numFmtId="0" fontId="0" fillId="0" borderId="24" xfId="0" applyBorder="1" applyAlignment="1">
      <alignment horizontal="center"/>
    </xf>
    <xf numFmtId="0" fontId="0" fillId="4" borderId="9" xfId="0" applyFill="1" applyBorder="1" applyAlignment="1">
      <alignment wrapText="1"/>
    </xf>
    <xf numFmtId="0" fontId="0" fillId="4" borderId="10" xfId="0" applyFill="1" applyBorder="1" applyAlignment="1">
      <alignment wrapText="1"/>
    </xf>
    <xf numFmtId="0" fontId="0" fillId="4" borderId="25" xfId="0" applyFill="1" applyBorder="1" applyAlignment="1">
      <alignment horizontal="left" wrapText="1"/>
    </xf>
    <xf numFmtId="0" fontId="0" fillId="0" borderId="0" xfId="0" applyAlignment="1">
      <alignment horizontal="center" vertical="center" wrapText="1"/>
    </xf>
    <xf numFmtId="0" fontId="0" fillId="0" borderId="0" xfId="0" applyAlignment="1">
      <alignment horizontal="center" vertical="center"/>
    </xf>
    <xf numFmtId="49" fontId="1" fillId="0" borderId="0" xfId="0" applyNumberFormat="1" applyFont="1" applyAlignment="1">
      <alignment horizontal="left" vertical="center" wrapText="1"/>
    </xf>
    <xf numFmtId="0" fontId="0" fillId="0" borderId="0" xfId="0" applyAlignment="1">
      <alignment horizontal="left"/>
    </xf>
    <xf numFmtId="0" fontId="0" fillId="0" borderId="0" xfId="0" applyAlignment="1">
      <alignment horizontal="left" wrapText="1"/>
    </xf>
    <xf numFmtId="0" fontId="0" fillId="0" borderId="2" xfId="0" applyBorder="1"/>
    <xf numFmtId="0" fontId="0" fillId="4" borderId="18" xfId="0" applyFill="1" applyBorder="1" applyAlignment="1">
      <alignment horizontal="left" wrapText="1"/>
    </xf>
    <xf numFmtId="0" fontId="0" fillId="5" borderId="4" xfId="0" applyFill="1" applyBorder="1" applyAlignment="1">
      <alignment vertical="center"/>
    </xf>
    <xf numFmtId="0" fontId="0" fillId="5" borderId="4" xfId="0" applyFill="1" applyBorder="1" applyAlignment="1">
      <alignment vertical="center" wrapText="1"/>
    </xf>
    <xf numFmtId="0" fontId="1" fillId="4" borderId="14" xfId="0" applyFont="1" applyFill="1" applyBorder="1"/>
    <xf numFmtId="0" fontId="1" fillId="6" borderId="14" xfId="0" applyFont="1" applyFill="1" applyBorder="1"/>
    <xf numFmtId="0" fontId="0" fillId="2" borderId="13" xfId="0" applyFill="1" applyBorder="1" applyAlignment="1">
      <alignment wrapText="1"/>
    </xf>
    <xf numFmtId="0" fontId="0" fillId="2" borderId="14" xfId="0" applyFill="1" applyBorder="1"/>
    <xf numFmtId="0" fontId="0" fillId="2" borderId="15" xfId="0" applyFill="1" applyBorder="1"/>
    <xf numFmtId="0" fontId="1" fillId="7" borderId="13" xfId="0" applyFont="1" applyFill="1" applyBorder="1"/>
    <xf numFmtId="0" fontId="0" fillId="7" borderId="14" xfId="0" applyFill="1" applyBorder="1" applyAlignment="1">
      <alignment wrapText="1"/>
    </xf>
    <xf numFmtId="0" fontId="0" fillId="7" borderId="15" xfId="0" applyFill="1" applyBorder="1" applyAlignment="1">
      <alignment wrapText="1"/>
    </xf>
    <xf numFmtId="0" fontId="0" fillId="6" borderId="6" xfId="0" applyFill="1" applyBorder="1" applyAlignment="1">
      <alignment wrapText="1"/>
    </xf>
    <xf numFmtId="0" fontId="0" fillId="0" borderId="1" xfId="0" applyBorder="1" applyAlignment="1">
      <alignment horizontal="center" vertical="center" wrapText="1"/>
    </xf>
    <xf numFmtId="0" fontId="0" fillId="5" borderId="4" xfId="0" applyFill="1" applyBorder="1" applyAlignment="1">
      <alignment wrapText="1"/>
    </xf>
    <xf numFmtId="0" fontId="2" fillId="5" borderId="4" xfId="0" applyFont="1" applyFill="1" applyBorder="1"/>
    <xf numFmtId="0" fontId="3" fillId="0" borderId="28" xfId="0" applyFont="1" applyBorder="1" applyAlignment="1">
      <alignment horizontal="left" vertical="center" wrapText="1"/>
    </xf>
    <xf numFmtId="0" fontId="0" fillId="0" borderId="1" xfId="0" applyBorder="1" applyAlignment="1">
      <alignment vertical="top"/>
    </xf>
    <xf numFmtId="0" fontId="0" fillId="5" borderId="15" xfId="0" applyFill="1" applyBorder="1" applyAlignment="1">
      <alignment vertical="center" wrapText="1"/>
    </xf>
    <xf numFmtId="0" fontId="0" fillId="5" borderId="29" xfId="0" applyFill="1" applyBorder="1" applyAlignment="1">
      <alignment vertical="center"/>
    </xf>
    <xf numFmtId="0" fontId="0" fillId="5" borderId="3" xfId="0" applyFill="1" applyBorder="1" applyAlignment="1">
      <alignment vertical="center" wrapText="1"/>
    </xf>
    <xf numFmtId="0" fontId="0" fillId="5" borderId="3" xfId="0" applyFill="1" applyBorder="1" applyAlignment="1">
      <alignment vertical="center"/>
    </xf>
    <xf numFmtId="0" fontId="0" fillId="5" borderId="30" xfId="0" applyFill="1" applyBorder="1" applyAlignment="1">
      <alignment vertical="center"/>
    </xf>
    <xf numFmtId="0" fontId="0" fillId="5" borderId="22" xfId="0" applyFill="1" applyBorder="1" applyAlignment="1">
      <alignment vertical="center"/>
    </xf>
    <xf numFmtId="0" fontId="0" fillId="5" borderId="23" xfId="0" applyFill="1" applyBorder="1" applyAlignment="1">
      <alignment vertical="center" wrapText="1"/>
    </xf>
    <xf numFmtId="0" fontId="0" fillId="5" borderId="23" xfId="0" applyFill="1" applyBorder="1" applyAlignment="1">
      <alignment vertical="center"/>
    </xf>
    <xf numFmtId="0" fontId="0" fillId="5" borderId="24" xfId="0" applyFill="1" applyBorder="1" applyAlignment="1">
      <alignment vertical="center"/>
    </xf>
    <xf numFmtId="0" fontId="0" fillId="5" borderId="8" xfId="0" applyFill="1" applyBorder="1" applyAlignment="1">
      <alignment vertical="center" wrapText="1"/>
    </xf>
    <xf numFmtId="0" fontId="0" fillId="0" borderId="6" xfId="0" applyBorder="1" applyAlignment="1">
      <alignment vertical="center" wrapText="1"/>
    </xf>
    <xf numFmtId="0" fontId="0" fillId="0" borderId="22" xfId="0" applyBorder="1" applyAlignment="1">
      <alignment vertical="center"/>
    </xf>
    <xf numFmtId="0" fontId="0" fillId="0" borderId="23" xfId="0" applyBorder="1" applyAlignment="1">
      <alignment vertical="center" wrapText="1"/>
    </xf>
    <xf numFmtId="0" fontId="0" fillId="0" borderId="23" xfId="0" applyBorder="1" applyAlignment="1">
      <alignment vertical="center"/>
    </xf>
    <xf numFmtId="0" fontId="0" fillId="0" borderId="24" xfId="0" applyBorder="1" applyAlignment="1">
      <alignmen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5" borderId="27" xfId="0" applyFont="1" applyFill="1" applyBorder="1" applyAlignment="1">
      <alignment wrapText="1"/>
    </xf>
    <xf numFmtId="0" fontId="1" fillId="5" borderId="5" xfId="0" applyFont="1" applyFill="1" applyBorder="1"/>
    <xf numFmtId="0" fontId="0" fillId="0" borderId="2" xfId="0" applyBorder="1" applyAlignment="1">
      <alignment vertical="center" wrapText="1"/>
    </xf>
    <xf numFmtId="0" fontId="0" fillId="0" borderId="2" xfId="0" applyBorder="1" applyAlignment="1">
      <alignment vertical="center"/>
    </xf>
    <xf numFmtId="0" fontId="0" fillId="0" borderId="4" xfId="0" applyBorder="1"/>
    <xf numFmtId="0" fontId="0" fillId="5" borderId="6" xfId="0" applyFill="1" applyBorder="1" applyAlignment="1">
      <alignment vertical="center" wrapText="1"/>
    </xf>
    <xf numFmtId="0" fontId="0" fillId="0" borderId="22" xfId="0" applyBorder="1" applyAlignment="1">
      <alignment horizontal="left"/>
    </xf>
    <xf numFmtId="0" fontId="0" fillId="0" borderId="23" xfId="0" applyBorder="1" applyAlignment="1">
      <alignment horizontal="left"/>
    </xf>
    <xf numFmtId="0" fontId="5" fillId="4" borderId="1" xfId="0" applyFont="1" applyFill="1" applyBorder="1" applyAlignment="1">
      <alignment horizontal="left" vertical="top" wrapText="1"/>
    </xf>
    <xf numFmtId="0" fontId="0" fillId="0" borderId="4" xfId="0" applyBorder="1" applyAlignment="1">
      <alignment horizontal="left"/>
    </xf>
    <xf numFmtId="0" fontId="0" fillId="0" borderId="4" xfId="0" applyBorder="1" applyAlignment="1">
      <alignment horizontal="left" wrapText="1"/>
    </xf>
    <xf numFmtId="0" fontId="0" fillId="0" borderId="4" xfId="0" applyBorder="1" applyAlignment="1">
      <alignment wrapText="1"/>
    </xf>
    <xf numFmtId="0" fontId="0" fillId="0" borderId="23" xfId="0" applyBorder="1" applyAlignment="1">
      <alignment wrapText="1"/>
    </xf>
    <xf numFmtId="0" fontId="0" fillId="0" borderId="24" xfId="0" applyBorder="1"/>
    <xf numFmtId="0" fontId="0" fillId="0" borderId="22" xfId="0" applyBorder="1" applyAlignment="1">
      <alignment horizontal="left" vertical="top" wrapText="1"/>
    </xf>
    <xf numFmtId="0" fontId="0" fillId="0" borderId="23" xfId="0" applyBorder="1" applyAlignment="1">
      <alignment horizontal="left" vertical="top" wrapText="1"/>
    </xf>
    <xf numFmtId="0" fontId="0" fillId="4" borderId="4" xfId="0" applyFill="1" applyBorder="1" applyAlignment="1">
      <alignment horizontal="left"/>
    </xf>
    <xf numFmtId="0" fontId="0" fillId="4" borderId="20" xfId="0" applyFill="1" applyBorder="1" applyAlignment="1">
      <alignment horizontal="left" vertical="top" wrapText="1"/>
    </xf>
    <xf numFmtId="0" fontId="0" fillId="4" borderId="10" xfId="0" applyFill="1" applyBorder="1" applyAlignment="1">
      <alignment horizontal="left" vertical="top"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4" borderId="5" xfId="0" applyFill="1" applyBorder="1" applyAlignment="1">
      <alignment horizontal="center" vertical="center" wrapText="1"/>
    </xf>
    <xf numFmtId="0" fontId="0" fillId="0" borderId="31" xfId="0" applyBorder="1" applyAlignment="1">
      <alignment horizontal="left" wrapText="1"/>
    </xf>
    <xf numFmtId="0" fontId="0" fillId="0" borderId="32" xfId="0" applyBorder="1"/>
    <xf numFmtId="0" fontId="5" fillId="4" borderId="1" xfId="0" applyFont="1" applyFill="1" applyBorder="1" applyAlignment="1">
      <alignment horizontal="left"/>
    </xf>
    <xf numFmtId="49" fontId="1" fillId="4" borderId="2" xfId="0" applyNumberFormat="1" applyFont="1" applyFill="1" applyBorder="1" applyAlignment="1">
      <alignment vertical="center" wrapText="1"/>
    </xf>
    <xf numFmtId="49" fontId="1" fillId="4" borderId="3" xfId="0" applyNumberFormat="1" applyFont="1" applyFill="1" applyBorder="1" applyAlignment="1">
      <alignment vertical="center" wrapText="1"/>
    </xf>
    <xf numFmtId="0" fontId="0" fillId="0" borderId="12" xfId="0" applyBorder="1" applyAlignment="1">
      <alignment horizontal="left"/>
    </xf>
    <xf numFmtId="0" fontId="0" fillId="0" borderId="16" xfId="0" applyBorder="1"/>
    <xf numFmtId="0" fontId="0" fillId="4" borderId="25" xfId="0" applyFill="1" applyBorder="1" applyAlignment="1">
      <alignment horizontal="left" vertical="top" wrapText="1"/>
    </xf>
    <xf numFmtId="0" fontId="0" fillId="4" borderId="26" xfId="0" applyFill="1" applyBorder="1"/>
    <xf numFmtId="0" fontId="0" fillId="4" borderId="25" xfId="0" applyFill="1" applyBorder="1" applyAlignment="1">
      <alignment horizontal="left"/>
    </xf>
    <xf numFmtId="0" fontId="1" fillId="0" borderId="0" xfId="0" applyFont="1" applyAlignment="1">
      <alignment horizontal="center" vertical="center"/>
    </xf>
    <xf numFmtId="0" fontId="1" fillId="0" borderId="1" xfId="0" applyFont="1" applyBorder="1" applyAlignment="1">
      <alignment vertical="center"/>
    </xf>
    <xf numFmtId="0" fontId="1" fillId="5" borderId="1" xfId="0" applyFont="1" applyFill="1" applyBorder="1" applyAlignment="1">
      <alignment horizontal="center"/>
    </xf>
    <xf numFmtId="0" fontId="0" fillId="0" borderId="2" xfId="0" applyBorder="1" applyAlignment="1">
      <alignment horizontal="left"/>
    </xf>
    <xf numFmtId="0" fontId="0" fillId="0" borderId="2" xfId="0" applyBorder="1" applyAlignment="1">
      <alignment horizontal="left" wrapText="1"/>
    </xf>
    <xf numFmtId="0" fontId="0" fillId="0" borderId="2" xfId="0" applyBorder="1" applyAlignment="1">
      <alignment wrapText="1"/>
    </xf>
    <xf numFmtId="0" fontId="0" fillId="0" borderId="29" xfId="0" applyBorder="1" applyAlignment="1">
      <alignment horizontal="left" wrapText="1"/>
    </xf>
    <xf numFmtId="0" fontId="0" fillId="0" borderId="3" xfId="0" applyBorder="1" applyAlignment="1">
      <alignment horizontal="left" wrapText="1"/>
    </xf>
    <xf numFmtId="0" fontId="0" fillId="0" borderId="3" xfId="0" applyBorder="1" applyAlignment="1">
      <alignment wrapText="1"/>
    </xf>
    <xf numFmtId="0" fontId="0" fillId="0" borderId="30" xfId="0" applyBorder="1"/>
    <xf numFmtId="0" fontId="4" fillId="0" borderId="1" xfId="0" applyFont="1" applyBorder="1" applyAlignment="1">
      <alignment horizontal="left" wrapText="1"/>
    </xf>
    <xf numFmtId="0" fontId="8"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8" fillId="0" borderId="1" xfId="0" applyFont="1" applyBorder="1" applyAlignment="1">
      <alignment horizontal="left"/>
    </xf>
    <xf numFmtId="0" fontId="4" fillId="4" borderId="1" xfId="0" applyFont="1" applyFill="1" applyBorder="1" applyAlignment="1">
      <alignment horizontal="left" vertical="top" wrapText="1"/>
    </xf>
    <xf numFmtId="0" fontId="8" fillId="4" borderId="1" xfId="0" applyFont="1" applyFill="1" applyBorder="1" applyAlignment="1">
      <alignment horizontal="left" wrapText="1"/>
    </xf>
    <xf numFmtId="0" fontId="8" fillId="4" borderId="1" xfId="0" applyFont="1" applyFill="1" applyBorder="1" applyAlignment="1">
      <alignment horizontal="left"/>
    </xf>
    <xf numFmtId="0" fontId="4" fillId="4" borderId="1" xfId="0" applyFont="1" applyFill="1" applyBorder="1" applyAlignment="1">
      <alignment horizontal="left"/>
    </xf>
    <xf numFmtId="0" fontId="4" fillId="4" borderId="1" xfId="0" applyFont="1" applyFill="1" applyBorder="1" applyAlignment="1">
      <alignment horizontal="left" wrapText="1"/>
    </xf>
    <xf numFmtId="0" fontId="4" fillId="4" borderId="20" xfId="0" applyFont="1" applyFill="1" applyBorder="1" applyAlignment="1">
      <alignment horizontal="left"/>
    </xf>
    <xf numFmtId="0" fontId="4" fillId="0" borderId="10" xfId="0" applyFont="1" applyBorder="1" applyAlignment="1">
      <alignment wrapText="1"/>
    </xf>
    <xf numFmtId="0" fontId="4" fillId="4" borderId="10" xfId="0" applyFont="1" applyFill="1" applyBorder="1" applyAlignment="1">
      <alignment wrapText="1"/>
    </xf>
    <xf numFmtId="0" fontId="8" fillId="4" borderId="2" xfId="0" applyFont="1" applyFill="1" applyBorder="1" applyAlignment="1">
      <alignment horizontal="left"/>
    </xf>
    <xf numFmtId="0" fontId="8" fillId="0" borderId="4" xfId="0" applyFont="1" applyBorder="1" applyAlignment="1">
      <alignment horizontal="left"/>
    </xf>
    <xf numFmtId="0" fontId="4" fillId="0" borderId="1" xfId="0" applyFont="1" applyBorder="1" applyAlignment="1">
      <alignment horizontal="left"/>
    </xf>
    <xf numFmtId="0" fontId="8" fillId="0" borderId="1" xfId="0" applyFont="1" applyBorder="1" applyAlignment="1">
      <alignment horizontal="left" vertical="top" wrapText="1"/>
    </xf>
    <xf numFmtId="0" fontId="4" fillId="4" borderId="18" xfId="0" applyFont="1" applyFill="1" applyBorder="1" applyAlignment="1">
      <alignment horizontal="left" wrapText="1"/>
    </xf>
    <xf numFmtId="0" fontId="4" fillId="4" borderId="9" xfId="0" applyFont="1" applyFill="1" applyBorder="1" applyAlignment="1">
      <alignment horizontal="left" wrapText="1"/>
    </xf>
    <xf numFmtId="0" fontId="4" fillId="4" borderId="9" xfId="0" applyFont="1" applyFill="1" applyBorder="1" applyAlignment="1">
      <alignment wrapText="1"/>
    </xf>
    <xf numFmtId="0" fontId="4" fillId="4" borderId="19" xfId="0" applyFont="1" applyFill="1" applyBorder="1"/>
    <xf numFmtId="0" fontId="4" fillId="4" borderId="20" xfId="0" applyFont="1" applyFill="1" applyBorder="1" applyAlignment="1">
      <alignment horizontal="left" vertical="top" wrapText="1"/>
    </xf>
    <xf numFmtId="0" fontId="4" fillId="4" borderId="10" xfId="0" applyFont="1" applyFill="1" applyBorder="1" applyAlignment="1">
      <alignment horizontal="left" vertical="top" wrapText="1"/>
    </xf>
    <xf numFmtId="0" fontId="4" fillId="4" borderId="21" xfId="0" applyFont="1" applyFill="1" applyBorder="1"/>
    <xf numFmtId="0" fontId="4" fillId="4" borderId="18" xfId="0" applyFont="1" applyFill="1" applyBorder="1" applyAlignment="1">
      <alignment horizontal="left"/>
    </xf>
    <xf numFmtId="0" fontId="4" fillId="4" borderId="9" xfId="0" applyFont="1" applyFill="1" applyBorder="1" applyAlignment="1">
      <alignment horizontal="left"/>
    </xf>
    <xf numFmtId="0" fontId="4" fillId="4" borderId="10" xfId="0" applyFont="1" applyFill="1" applyBorder="1" applyAlignment="1">
      <alignment horizontal="left"/>
    </xf>
    <xf numFmtId="0" fontId="4" fillId="4" borderId="10" xfId="0" applyFont="1" applyFill="1" applyBorder="1" applyAlignment="1">
      <alignment horizontal="left" wrapText="1"/>
    </xf>
    <xf numFmtId="0" fontId="4" fillId="4" borderId="22" xfId="0" applyFont="1" applyFill="1" applyBorder="1" applyAlignment="1">
      <alignment horizontal="left"/>
    </xf>
    <xf numFmtId="0" fontId="4" fillId="4" borderId="23" xfId="0" applyFont="1" applyFill="1" applyBorder="1" applyAlignment="1">
      <alignment horizontal="left"/>
    </xf>
    <xf numFmtId="0" fontId="4" fillId="4" borderId="23" xfId="0" applyFont="1" applyFill="1" applyBorder="1" applyAlignment="1">
      <alignment horizontal="left" wrapText="1"/>
    </xf>
    <xf numFmtId="0" fontId="4" fillId="4" borderId="23" xfId="0" applyFont="1" applyFill="1" applyBorder="1" applyAlignment="1">
      <alignment wrapText="1"/>
    </xf>
    <xf numFmtId="0" fontId="4" fillId="4" borderId="24" xfId="0" applyFont="1" applyFill="1" applyBorder="1"/>
    <xf numFmtId="0" fontId="4" fillId="0" borderId="4" xfId="0" applyFont="1" applyBorder="1" applyAlignment="1">
      <alignment horizontal="left" wrapText="1"/>
    </xf>
    <xf numFmtId="0" fontId="8" fillId="4" borderId="9" xfId="0" applyFont="1" applyFill="1" applyBorder="1" applyAlignment="1">
      <alignment horizontal="left" wrapText="1"/>
    </xf>
    <xf numFmtId="0" fontId="8" fillId="4" borderId="10" xfId="0" applyFont="1" applyFill="1" applyBorder="1" applyAlignment="1">
      <alignment horizontal="left"/>
    </xf>
    <xf numFmtId="0" fontId="4" fillId="0" borderId="1" xfId="0" applyFont="1" applyBorder="1" applyAlignment="1">
      <alignment wrapText="1"/>
    </xf>
    <xf numFmtId="0" fontId="4" fillId="0" borderId="1" xfId="0" applyFont="1" applyBorder="1"/>
    <xf numFmtId="0" fontId="4" fillId="0" borderId="9" xfId="0" applyFont="1" applyBorder="1" applyAlignment="1">
      <alignment horizontal="left" wrapText="1"/>
    </xf>
    <xf numFmtId="0" fontId="4" fillId="0" borderId="10" xfId="0" applyFont="1" applyBorder="1" applyAlignment="1">
      <alignment horizontal="left" vertical="top" wrapText="1"/>
    </xf>
    <xf numFmtId="0" fontId="4" fillId="0" borderId="10" xfId="0" applyFont="1" applyBorder="1" applyAlignment="1">
      <alignment horizontal="left" wrapText="1"/>
    </xf>
    <xf numFmtId="0" fontId="8" fillId="4" borderId="2" xfId="0" applyFont="1" applyFill="1" applyBorder="1" applyAlignment="1">
      <alignment horizontal="left" wrapText="1"/>
    </xf>
    <xf numFmtId="0" fontId="8" fillId="0" borderId="1" xfId="0" applyFont="1" applyBorder="1" applyAlignment="1">
      <alignment horizontal="left" wrapText="1"/>
    </xf>
    <xf numFmtId="0" fontId="0" fillId="4" borderId="33" xfId="0" applyFill="1" applyBorder="1" applyAlignment="1">
      <alignment horizontal="left" wrapText="1"/>
    </xf>
    <xf numFmtId="0" fontId="0" fillId="4" borderId="34" xfId="0" applyFill="1" applyBorder="1" applyAlignment="1">
      <alignment horizontal="left"/>
    </xf>
    <xf numFmtId="0" fontId="0" fillId="4" borderId="34" xfId="0" applyFill="1" applyBorder="1" applyAlignment="1">
      <alignment horizontal="left" wrapText="1"/>
    </xf>
    <xf numFmtId="0" fontId="4" fillId="4" borderId="34" xfId="0" applyFont="1" applyFill="1" applyBorder="1" applyAlignment="1">
      <alignment horizontal="left" wrapText="1"/>
    </xf>
    <xf numFmtId="0" fontId="0" fillId="4" borderId="34" xfId="0" applyFill="1" applyBorder="1" applyAlignment="1">
      <alignment horizontal="center" wrapText="1"/>
    </xf>
    <xf numFmtId="0" fontId="0" fillId="4" borderId="35" xfId="0" applyFill="1" applyBorder="1" applyAlignment="1">
      <alignment horizontal="center"/>
    </xf>
    <xf numFmtId="0" fontId="0" fillId="0" borderId="10" xfId="0" applyBorder="1" applyAlignment="1">
      <alignment horizontal="center" wrapText="1"/>
    </xf>
    <xf numFmtId="0" fontId="0" fillId="0" borderId="21" xfId="0" applyBorder="1" applyAlignment="1">
      <alignment horizontal="center"/>
    </xf>
    <xf numFmtId="0" fontId="8" fillId="0" borderId="18" xfId="0" applyFont="1" applyBorder="1" applyAlignment="1">
      <alignment horizontal="left" wrapText="1"/>
    </xf>
    <xf numFmtId="0" fontId="0" fillId="0" borderId="9" xfId="0" applyBorder="1" applyAlignment="1">
      <alignment horizontal="center" wrapText="1"/>
    </xf>
    <xf numFmtId="0" fontId="0" fillId="0" borderId="19" xfId="0" applyBorder="1" applyAlignment="1">
      <alignment horizontal="center"/>
    </xf>
    <xf numFmtId="0" fontId="8" fillId="0" borderId="20" xfId="0" applyFont="1" applyBorder="1" applyAlignment="1">
      <alignment horizontal="left" vertical="top" wrapText="1"/>
    </xf>
    <xf numFmtId="0" fontId="8" fillId="4" borderId="20" xfId="0" applyFont="1" applyFill="1" applyBorder="1" applyAlignment="1">
      <alignment horizontal="left"/>
    </xf>
    <xf numFmtId="0" fontId="8" fillId="0" borderId="20" xfId="0" applyFont="1" applyBorder="1" applyAlignment="1">
      <alignment horizontal="left"/>
    </xf>
    <xf numFmtId="0" fontId="4" fillId="0" borderId="3" xfId="0" applyFont="1" applyBorder="1" applyAlignment="1">
      <alignment horizontal="left" wrapText="1"/>
    </xf>
    <xf numFmtId="0" fontId="4" fillId="5" borderId="1" xfId="0" applyFont="1" applyFill="1" applyBorder="1" applyAlignment="1">
      <alignment vertical="center" wrapText="1"/>
    </xf>
    <xf numFmtId="0" fontId="4" fillId="0" borderId="1" xfId="0" applyFont="1" applyBorder="1" applyAlignment="1">
      <alignment vertical="center"/>
    </xf>
    <xf numFmtId="0" fontId="4" fillId="5" borderId="1" xfId="0" applyFont="1" applyFill="1" applyBorder="1" applyAlignment="1">
      <alignment vertical="center"/>
    </xf>
    <xf numFmtId="0" fontId="8" fillId="5" borderId="1" xfId="0" applyFont="1" applyFill="1" applyBorder="1" applyAlignment="1">
      <alignment vertical="center" wrapText="1"/>
    </xf>
    <xf numFmtId="0" fontId="4" fillId="0" borderId="1" xfId="0" applyFont="1" applyBorder="1" applyAlignment="1">
      <alignment vertical="center" wrapText="1"/>
    </xf>
    <xf numFmtId="0" fontId="4" fillId="8" borderId="1" xfId="0" applyFont="1" applyFill="1" applyBorder="1" applyAlignment="1">
      <alignment vertical="center"/>
    </xf>
    <xf numFmtId="0" fontId="4" fillId="8" borderId="1" xfId="0" applyFont="1" applyFill="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11" fillId="4" borderId="1" xfId="0" applyFont="1" applyFill="1" applyBorder="1" applyAlignment="1">
      <alignment horizontal="left" vertical="top" wrapText="1"/>
    </xf>
    <xf numFmtId="0" fontId="10" fillId="4" borderId="1" xfId="0" applyFont="1" applyFill="1" applyBorder="1" applyAlignment="1">
      <alignment horizontal="left"/>
    </xf>
    <xf numFmtId="0" fontId="10" fillId="0" borderId="1" xfId="0" applyFont="1" applyBorder="1" applyAlignment="1">
      <alignment horizontal="left"/>
    </xf>
    <xf numFmtId="0" fontId="10" fillId="4" borderId="2" xfId="0" applyFont="1" applyFill="1" applyBorder="1" applyAlignment="1">
      <alignment horizontal="left" wrapText="1"/>
    </xf>
    <xf numFmtId="0" fontId="10" fillId="0" borderId="9" xfId="0" applyFont="1" applyBorder="1" applyAlignment="1">
      <alignment horizontal="left"/>
    </xf>
    <xf numFmtId="0" fontId="10" fillId="0" borderId="9" xfId="0" applyFont="1" applyBorder="1" applyAlignment="1">
      <alignment horizontal="left" wrapText="1"/>
    </xf>
    <xf numFmtId="0" fontId="10" fillId="4" borderId="1" xfId="0" applyFont="1" applyFill="1" applyBorder="1" applyAlignment="1">
      <alignment horizontal="left" wrapText="1"/>
    </xf>
    <xf numFmtId="0" fontId="10" fillId="4" borderId="4" xfId="0" applyFont="1" applyFill="1" applyBorder="1" applyAlignment="1">
      <alignment horizontal="left" wrapText="1"/>
    </xf>
    <xf numFmtId="0" fontId="5" fillId="0" borderId="1" xfId="0" applyFont="1" applyBorder="1" applyAlignment="1">
      <alignment horizontal="left" wrapText="1"/>
    </xf>
    <xf numFmtId="0" fontId="5" fillId="0" borderId="1" xfId="0" applyFont="1" applyBorder="1" applyAlignment="1">
      <alignment horizontal="left"/>
    </xf>
    <xf numFmtId="0" fontId="5" fillId="0" borderId="9" xfId="0" applyFont="1" applyBorder="1" applyAlignment="1">
      <alignment horizontal="left" wrapText="1"/>
    </xf>
    <xf numFmtId="0" fontId="5" fillId="4" borderId="1" xfId="0" applyFont="1" applyFill="1" applyBorder="1" applyAlignment="1">
      <alignment horizontal="left" wrapText="1"/>
    </xf>
    <xf numFmtId="0" fontId="5" fillId="0" borderId="23" xfId="0" applyFont="1" applyBorder="1" applyAlignment="1">
      <alignment horizontal="left" wrapText="1"/>
    </xf>
    <xf numFmtId="0" fontId="7" fillId="4" borderId="1" xfId="0" applyFont="1" applyFill="1" applyBorder="1" applyAlignment="1">
      <alignment horizontal="left" wrapText="1"/>
    </xf>
    <xf numFmtId="0" fontId="7" fillId="0" borderId="9" xfId="0" applyFont="1" applyBorder="1" applyAlignment="1">
      <alignment horizontal="left" wrapText="1"/>
    </xf>
    <xf numFmtId="0" fontId="7" fillId="0" borderId="10" xfId="0" applyFont="1" applyBorder="1" applyAlignment="1">
      <alignment horizontal="left" vertical="top" wrapText="1"/>
    </xf>
    <xf numFmtId="0" fontId="7" fillId="4" borderId="9" xfId="0" applyFont="1" applyFill="1" applyBorder="1" applyAlignment="1">
      <alignment horizontal="left"/>
    </xf>
    <xf numFmtId="0" fontId="7" fillId="4" borderId="10" xfId="0" applyFont="1" applyFill="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0" fontId="7" fillId="4" borderId="9" xfId="0" applyFont="1" applyFill="1" applyBorder="1" applyAlignment="1">
      <alignment horizontal="left" wrapText="1"/>
    </xf>
    <xf numFmtId="0" fontId="7" fillId="4" borderId="10" xfId="0" applyFont="1" applyFill="1" applyBorder="1" applyAlignment="1">
      <alignment horizontal="left" wrapText="1"/>
    </xf>
    <xf numFmtId="0" fontId="7" fillId="0" borderId="10" xfId="0" applyFont="1" applyBorder="1" applyAlignment="1">
      <alignment horizontal="left" wrapText="1"/>
    </xf>
    <xf numFmtId="0" fontId="15" fillId="0" borderId="1" xfId="0" applyFont="1" applyBorder="1" applyAlignment="1">
      <alignment horizontal="left" vertical="top" wrapText="1"/>
    </xf>
    <xf numFmtId="0" fontId="15" fillId="4" borderId="1" xfId="0" applyFont="1" applyFill="1" applyBorder="1" applyAlignment="1">
      <alignment horizontal="left" wrapText="1"/>
    </xf>
    <xf numFmtId="0" fontId="15" fillId="4" borderId="10" xfId="0" applyFont="1" applyFill="1" applyBorder="1" applyAlignment="1">
      <alignment horizontal="left" vertical="top" wrapText="1"/>
    </xf>
    <xf numFmtId="0" fontId="15" fillId="4" borderId="9" xfId="0" applyFont="1" applyFill="1" applyBorder="1" applyAlignment="1">
      <alignment horizontal="left" wrapText="1"/>
    </xf>
    <xf numFmtId="0" fontId="15" fillId="4" borderId="1" xfId="0" applyFont="1" applyFill="1" applyBorder="1" applyAlignment="1">
      <alignment horizontal="left" vertical="top" wrapText="1"/>
    </xf>
    <xf numFmtId="0" fontId="0" fillId="4" borderId="36" xfId="0" applyFill="1" applyBorder="1" applyAlignment="1">
      <alignment horizontal="left" vertical="top" wrapText="1"/>
    </xf>
    <xf numFmtId="0" fontId="0" fillId="4" borderId="2" xfId="0" applyFill="1" applyBorder="1" applyAlignment="1">
      <alignment horizontal="left" vertical="top" wrapText="1"/>
    </xf>
    <xf numFmtId="0" fontId="0" fillId="4" borderId="37" xfId="0" applyFill="1" applyBorder="1"/>
    <xf numFmtId="0" fontId="5" fillId="4" borderId="2" xfId="0" applyFont="1" applyFill="1" applyBorder="1" applyAlignment="1">
      <alignment horizontal="left" wrapText="1"/>
    </xf>
    <xf numFmtId="0" fontId="5" fillId="4" borderId="2" xfId="0" applyFont="1" applyFill="1" applyBorder="1" applyAlignment="1">
      <alignment horizontal="left" vertical="top" wrapText="1"/>
    </xf>
    <xf numFmtId="0" fontId="5" fillId="4" borderId="9" xfId="0" applyFont="1" applyFill="1" applyBorder="1" applyAlignment="1">
      <alignment horizontal="left"/>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5" fillId="0" borderId="1" xfId="0" applyFont="1" applyBorder="1" applyAlignment="1">
      <alignment horizontal="left" vertical="top" wrapText="1"/>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0" fontId="0" fillId="9" borderId="2" xfId="0" applyFill="1" applyBorder="1" applyAlignment="1">
      <alignment horizontal="center" vertical="center" wrapText="1"/>
    </xf>
    <xf numFmtId="0" fontId="4" fillId="9" borderId="2"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9" borderId="4"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4" fillId="5" borderId="32" xfId="0" applyFont="1" applyFill="1" applyBorder="1" applyAlignment="1">
      <alignment horizontal="center" vertical="center" wrapText="1"/>
    </xf>
    <xf numFmtId="0" fontId="9" fillId="9" borderId="3" xfId="0" applyFont="1" applyFill="1" applyBorder="1" applyAlignment="1">
      <alignment horizontal="center" vertical="center"/>
    </xf>
    <xf numFmtId="0" fontId="4" fillId="9" borderId="1" xfId="0" applyFont="1" applyFill="1" applyBorder="1" applyAlignment="1">
      <alignment vertical="center"/>
    </xf>
    <xf numFmtId="0" fontId="4" fillId="9" borderId="1" xfId="0" applyFont="1" applyFill="1" applyBorder="1" applyAlignment="1">
      <alignment vertical="center" wrapText="1"/>
    </xf>
    <xf numFmtId="0" fontId="0" fillId="9" borderId="0" xfId="0" applyFill="1"/>
    <xf numFmtId="0" fontId="4" fillId="5" borderId="26"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7" fillId="9" borderId="3" xfId="0" applyFont="1" applyFill="1" applyBorder="1" applyAlignment="1">
      <alignment horizontal="center" vertical="center" wrapText="1"/>
    </xf>
    <xf numFmtId="0" fontId="17" fillId="9" borderId="0" xfId="0" applyFont="1" applyFill="1" applyAlignment="1">
      <alignment wrapText="1"/>
    </xf>
    <xf numFmtId="0" fontId="17" fillId="0" borderId="0" xfId="0" applyFont="1"/>
    <xf numFmtId="0" fontId="18" fillId="9" borderId="3" xfId="0" applyFont="1" applyFill="1" applyBorder="1" applyAlignment="1">
      <alignment horizontal="center" vertical="center"/>
    </xf>
    <xf numFmtId="0" fontId="18" fillId="9" borderId="2" xfId="0" applyFont="1" applyFill="1" applyBorder="1" applyAlignment="1">
      <alignment horizontal="center" vertical="center"/>
    </xf>
    <xf numFmtId="0" fontId="17" fillId="9" borderId="2" xfId="0" applyFont="1" applyFill="1" applyBorder="1" applyAlignment="1">
      <alignment horizontal="center" vertical="center" wrapText="1"/>
    </xf>
    <xf numFmtId="0" fontId="18" fillId="9" borderId="4" xfId="0" applyFont="1" applyFill="1" applyBorder="1" applyAlignment="1">
      <alignment horizontal="center" vertical="center"/>
    </xf>
    <xf numFmtId="0" fontId="17" fillId="9" borderId="4" xfId="0" applyFont="1" applyFill="1" applyBorder="1" applyAlignment="1">
      <alignment horizontal="center" vertical="center" wrapText="1"/>
    </xf>
    <xf numFmtId="0" fontId="17" fillId="9" borderId="1" xfId="0" applyFont="1" applyFill="1" applyBorder="1" applyAlignment="1">
      <alignment vertical="center"/>
    </xf>
    <xf numFmtId="0" fontId="17" fillId="9" borderId="1" xfId="0" applyFont="1" applyFill="1" applyBorder="1" applyAlignment="1">
      <alignment vertical="center" wrapText="1"/>
    </xf>
    <xf numFmtId="0" fontId="17" fillId="9" borderId="2" xfId="0" applyFont="1" applyFill="1" applyBorder="1" applyAlignment="1">
      <alignment vertical="center"/>
    </xf>
    <xf numFmtId="0" fontId="17" fillId="9" borderId="2" xfId="0" applyFont="1" applyFill="1" applyBorder="1" applyAlignment="1">
      <alignment vertical="center" wrapText="1"/>
    </xf>
    <xf numFmtId="0" fontId="17" fillId="0" borderId="1" xfId="0" applyFont="1" applyBorder="1" applyAlignment="1">
      <alignment wrapText="1"/>
    </xf>
    <xf numFmtId="0" fontId="1" fillId="10" borderId="3" xfId="0" applyFont="1" applyFill="1" applyBorder="1" applyAlignment="1">
      <alignment horizontal="center" vertical="center"/>
    </xf>
    <xf numFmtId="0" fontId="0" fillId="10" borderId="3" xfId="0" applyFill="1" applyBorder="1" applyAlignment="1">
      <alignment horizontal="center" vertical="center" wrapText="1"/>
    </xf>
    <xf numFmtId="0" fontId="0" fillId="10" borderId="3" xfId="0" applyFill="1" applyBorder="1" applyAlignment="1">
      <alignment horizontal="left" vertical="center" wrapText="1"/>
    </xf>
    <xf numFmtId="0" fontId="0" fillId="10" borderId="1" xfId="0" applyFill="1" applyBorder="1" applyAlignment="1">
      <alignment vertical="center"/>
    </xf>
    <xf numFmtId="0" fontId="0" fillId="10" borderId="1" xfId="0" applyFill="1" applyBorder="1" applyAlignment="1">
      <alignment vertical="center" wrapText="1"/>
    </xf>
    <xf numFmtId="0" fontId="0" fillId="10" borderId="1" xfId="0" applyFill="1" applyBorder="1" applyAlignment="1">
      <alignment horizontal="center" vertical="center" wrapText="1"/>
    </xf>
    <xf numFmtId="0" fontId="0" fillId="10" borderId="0" xfId="0" applyFill="1"/>
    <xf numFmtId="0" fontId="0" fillId="10" borderId="1" xfId="0" applyFill="1" applyBorder="1" applyAlignment="1">
      <alignment horizontal="left" vertical="center" wrapText="1"/>
    </xf>
    <xf numFmtId="0" fontId="8" fillId="10" borderId="2" xfId="0" applyFont="1" applyFill="1" applyBorder="1" applyAlignment="1">
      <alignment horizontal="center" vertical="center" wrapText="1"/>
    </xf>
    <xf numFmtId="0" fontId="4" fillId="10" borderId="1" xfId="0" applyFont="1" applyFill="1" applyBorder="1" applyAlignment="1">
      <alignment vertical="center"/>
    </xf>
    <xf numFmtId="0" fontId="4" fillId="10" borderId="1" xfId="0" applyFont="1" applyFill="1" applyBorder="1" applyAlignment="1">
      <alignment vertical="center" wrapText="1"/>
    </xf>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xf numFmtId="0" fontId="8" fillId="10" borderId="1" xfId="0" applyFont="1" applyFill="1" applyBorder="1" applyAlignment="1">
      <alignment vertical="center" wrapText="1"/>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1" fillId="0" borderId="1" xfId="0" applyNumberFormat="1"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49" fontId="12" fillId="4" borderId="2" xfId="0" applyNumberFormat="1" applyFont="1" applyFill="1" applyBorder="1" applyAlignment="1">
      <alignment horizontal="left" vertical="center" wrapText="1"/>
    </xf>
    <xf numFmtId="49" fontId="12" fillId="4" borderId="3" xfId="0" applyNumberFormat="1" applyFont="1" applyFill="1" applyBorder="1" applyAlignment="1">
      <alignment horizontal="left" vertical="center" wrapText="1"/>
    </xf>
    <xf numFmtId="49" fontId="12" fillId="4" borderId="4" xfId="0" applyNumberFormat="1" applyFont="1" applyFill="1" applyBorder="1" applyAlignment="1">
      <alignment horizontal="left"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12" fillId="0" borderId="1" xfId="0" applyFont="1" applyBorder="1" applyAlignment="1">
      <alignment horizontal="center" vertical="center"/>
    </xf>
    <xf numFmtId="0" fontId="12" fillId="4" borderId="1" xfId="0" applyFont="1" applyFill="1" applyBorder="1" applyAlignment="1">
      <alignment horizontal="center" vertical="center"/>
    </xf>
    <xf numFmtId="0" fontId="13"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4" xfId="0" applyFont="1" applyFill="1" applyBorder="1" applyAlignment="1">
      <alignment horizontal="center" vertical="center"/>
    </xf>
    <xf numFmtId="49" fontId="1" fillId="4" borderId="1" xfId="0" applyNumberFormat="1" applyFont="1" applyFill="1" applyBorder="1" applyAlignment="1">
      <alignment horizontal="left" vertical="center" wrapText="1"/>
    </xf>
    <xf numFmtId="49" fontId="12" fillId="0" borderId="1" xfId="0" applyNumberFormat="1" applyFont="1" applyBorder="1" applyAlignment="1">
      <alignment horizontal="left" vertical="center" wrapText="1"/>
    </xf>
    <xf numFmtId="49" fontId="12" fillId="4" borderId="1" xfId="0" applyNumberFormat="1" applyFont="1" applyFill="1" applyBorder="1" applyAlignment="1">
      <alignment horizontal="left" vertical="center" wrapText="1"/>
    </xf>
    <xf numFmtId="0" fontId="5" fillId="4" borderId="1" xfId="0" applyFont="1" applyFill="1" applyBorder="1" applyAlignment="1">
      <alignment horizontal="center" vertical="center" wrapText="1"/>
    </xf>
    <xf numFmtId="0" fontId="0" fillId="0" borderId="5" xfId="0" applyBorder="1" applyAlignment="1">
      <alignment horizontal="center" vertical="center" wrapText="1"/>
    </xf>
    <xf numFmtId="0" fontId="4" fillId="0" borderId="27" xfId="0" applyFont="1" applyBorder="1" applyAlignment="1">
      <alignment horizontal="center" vertical="center" wrapText="1"/>
    </xf>
    <xf numFmtId="0" fontId="0" fillId="0" borderId="27" xfId="0" applyBorder="1" applyAlignment="1">
      <alignment horizontal="center" vertical="center" wrapText="1"/>
    </xf>
    <xf numFmtId="0" fontId="4" fillId="0" borderId="1" xfId="0" applyFont="1" applyBorder="1" applyAlignment="1">
      <alignment horizontal="center" vertical="center" wrapText="1"/>
    </xf>
    <xf numFmtId="0" fontId="0" fillId="4" borderId="5" xfId="0" applyFill="1" applyBorder="1" applyAlignment="1">
      <alignment horizontal="center" vertical="center" wrapText="1"/>
    </xf>
    <xf numFmtId="0" fontId="4" fillId="4" borderId="27" xfId="0" applyFont="1" applyFill="1" applyBorder="1" applyAlignment="1">
      <alignment horizontal="center" vertical="center" wrapText="1"/>
    </xf>
    <xf numFmtId="0" fontId="4" fillId="4" borderId="1" xfId="0" applyFont="1" applyFill="1" applyBorder="1" applyAlignment="1">
      <alignment horizontal="center" vertical="center" wrapText="1"/>
    </xf>
    <xf numFmtId="49" fontId="14" fillId="4" borderId="1" xfId="0" applyNumberFormat="1" applyFont="1" applyFill="1" applyBorder="1" applyAlignment="1">
      <alignment horizontal="left" vertical="center" wrapText="1"/>
    </xf>
    <xf numFmtId="0" fontId="13" fillId="4" borderId="1" xfId="0" applyFont="1" applyFill="1" applyBorder="1" applyAlignment="1">
      <alignment horizontal="center" vertical="center"/>
    </xf>
    <xf numFmtId="49" fontId="13" fillId="4" borderId="1" xfId="0" applyNumberFormat="1" applyFont="1" applyFill="1" applyBorder="1" applyAlignment="1">
      <alignment horizontal="left" vertical="center" wrapText="1"/>
    </xf>
    <xf numFmtId="0" fontId="5" fillId="0" borderId="2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7" xfId="0" applyFill="1" applyBorder="1" applyAlignment="1">
      <alignment horizontal="center" vertical="center" wrapText="1"/>
    </xf>
    <xf numFmtId="0" fontId="0" fillId="4" borderId="8" xfId="0" applyFill="1" applyBorder="1" applyAlignment="1">
      <alignment horizontal="center" vertical="center" wrapText="1"/>
    </xf>
    <xf numFmtId="0" fontId="0" fillId="4" borderId="16" xfId="0"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0" borderId="1" xfId="0" applyFont="1" applyBorder="1" applyAlignment="1">
      <alignment horizontal="center" vertical="center" wrapText="1"/>
    </xf>
    <xf numFmtId="49" fontId="13" fillId="0" borderId="1" xfId="0" applyNumberFormat="1" applyFont="1" applyBorder="1" applyAlignment="1">
      <alignment horizontal="left" vertical="center" wrapText="1"/>
    </xf>
    <xf numFmtId="49" fontId="12" fillId="4" borderId="3" xfId="0" applyNumberFormat="1" applyFont="1" applyFill="1" applyBorder="1" applyAlignment="1">
      <alignment horizontal="center" vertical="center" wrapText="1"/>
    </xf>
    <xf numFmtId="49" fontId="12" fillId="4" borderId="4" xfId="0" applyNumberFormat="1" applyFont="1" applyFill="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49" fontId="1" fillId="0" borderId="2"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49" fontId="14" fillId="0" borderId="1" xfId="0" applyNumberFormat="1" applyFont="1" applyBorder="1" applyAlignment="1">
      <alignment horizontal="left" vertical="center" wrapText="1"/>
    </xf>
    <xf numFmtId="0" fontId="1" fillId="0" borderId="1" xfId="0" applyFont="1" applyBorder="1" applyAlignment="1">
      <alignment horizontal="center" vertical="center"/>
    </xf>
    <xf numFmtId="0" fontId="16" fillId="9" borderId="38"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9" borderId="39" xfId="0" applyFont="1" applyFill="1" applyBorder="1" applyAlignment="1">
      <alignment horizontal="center" vertical="center" wrapText="1"/>
    </xf>
    <xf numFmtId="0" fontId="16" fillId="9" borderId="2" xfId="0" applyFont="1" applyFill="1" applyBorder="1" applyAlignment="1">
      <alignment horizontal="center" vertical="center" wrapText="1"/>
    </xf>
    <xf numFmtId="0" fontId="16" fillId="9" borderId="3"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17" fillId="0" borderId="11"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2" xfId="0" applyFont="1" applyBorder="1" applyAlignment="1">
      <alignment horizontal="center" vertical="center" wrapText="1"/>
    </xf>
    <xf numFmtId="0" fontId="4" fillId="10" borderId="2"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9" fillId="10" borderId="2" xfId="0" applyFont="1" applyFill="1" applyBorder="1" applyAlignment="1">
      <alignment horizontal="center" vertical="center"/>
    </xf>
    <xf numFmtId="0" fontId="9" fillId="10" borderId="3" xfId="0" applyFont="1" applyFill="1" applyBorder="1" applyAlignment="1">
      <alignment horizontal="center" vertical="center"/>
    </xf>
    <xf numFmtId="0" fontId="9" fillId="10" borderId="4" xfId="0" applyFont="1" applyFill="1" applyBorder="1" applyAlignment="1">
      <alignment horizontal="center" vertic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9" fillId="5" borderId="2" xfId="0" applyFont="1" applyFill="1" applyBorder="1" applyAlignment="1">
      <alignment horizontal="center" vertical="center"/>
    </xf>
    <xf numFmtId="0" fontId="9" fillId="5" borderId="3" xfId="0" applyFont="1" applyFill="1" applyBorder="1" applyAlignment="1">
      <alignment horizontal="center" vertical="center"/>
    </xf>
    <xf numFmtId="0" fontId="9" fillId="5" borderId="4" xfId="0" applyFont="1" applyFill="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 fillId="5" borderId="1"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4" xfId="0" applyFont="1" applyFill="1" applyBorder="1" applyAlignment="1">
      <alignment horizontal="center" vertical="center"/>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2" xfId="0" applyFill="1" applyBorder="1" applyAlignment="1">
      <alignment horizontal="left"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5" fillId="5" borderId="2" xfId="0" applyFont="1" applyFill="1" applyBorder="1" applyAlignment="1">
      <alignment horizontal="center" wrapText="1"/>
    </xf>
    <xf numFmtId="0" fontId="0" fillId="5" borderId="3" xfId="0" applyFill="1" applyBorder="1" applyAlignment="1">
      <alignment horizontal="center" wrapText="1"/>
    </xf>
    <xf numFmtId="0" fontId="0" fillId="5" borderId="4" xfId="0" applyFill="1" applyBorder="1" applyAlignment="1">
      <alignment horizontal="center" wrapText="1"/>
    </xf>
    <xf numFmtId="0" fontId="0" fillId="10" borderId="2"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4" fillId="10" borderId="2"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4" fillId="10" borderId="4" xfId="0" applyFont="1" applyFill="1" applyBorder="1" applyAlignment="1">
      <alignment horizontal="lef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4" fillId="0" borderId="2" xfId="0" applyFont="1" applyBorder="1" applyAlignment="1">
      <alignment horizontal="left" vertical="center" wrapText="1"/>
    </xf>
    <xf numFmtId="0" fontId="0" fillId="5" borderId="3" xfId="0" applyFill="1" applyBorder="1" applyAlignment="1">
      <alignment horizontal="left" vertical="center"/>
    </xf>
    <xf numFmtId="0" fontId="0" fillId="5" borderId="4" xfId="0" applyFill="1" applyBorder="1" applyAlignment="1">
      <alignment horizontal="left" vertical="center"/>
    </xf>
    <xf numFmtId="0" fontId="0" fillId="0" borderId="11" xfId="0" applyBorder="1" applyAlignment="1">
      <alignment horizontal="left" vertical="center" wrapText="1"/>
    </xf>
    <xf numFmtId="0" fontId="0" fillId="0" borderId="17" xfId="0" applyBorder="1" applyAlignment="1">
      <alignment horizontal="left" vertical="center" wrapText="1"/>
    </xf>
    <xf numFmtId="0" fontId="0" fillId="0" borderId="12" xfId="0" applyBorder="1" applyAlignment="1">
      <alignment horizontal="left"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17" fillId="10" borderId="2" xfId="0" applyFont="1" applyFill="1" applyBorder="1" applyAlignment="1">
      <alignment horizontal="center" vertical="center" wrapText="1"/>
    </xf>
    <xf numFmtId="0" fontId="17" fillId="10" borderId="3" xfId="0" applyFont="1" applyFill="1" applyBorder="1" applyAlignment="1">
      <alignment horizontal="center" vertical="center" wrapText="1"/>
    </xf>
    <xf numFmtId="0" fontId="17" fillId="10" borderId="4" xfId="0" applyFont="1" applyFill="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4" fillId="5" borderId="4" xfId="0" applyFont="1" applyFill="1" applyBorder="1" applyAlignment="1">
      <alignment horizontal="lef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6" xfId="0" applyBorder="1" applyAlignment="1">
      <alignment horizontal="center" vertical="center" wrapText="1"/>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3" fillId="5" borderId="3" xfId="0" applyFont="1" applyFill="1" applyBorder="1" applyAlignment="1">
      <alignment horizontal="left" vertical="center" wrapText="1"/>
    </xf>
    <xf numFmtId="0" fontId="3" fillId="5" borderId="4" xfId="0" applyFont="1" applyFill="1" applyBorder="1" applyAlignment="1">
      <alignment horizontal="left"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6" xfId="0" applyFont="1" applyBorder="1" applyAlignment="1">
      <alignment horizontal="center" vertical="center" wrapText="1"/>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8" borderId="2"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2" xfId="0" applyFont="1" applyFill="1" applyBorder="1" applyAlignment="1">
      <alignment horizontal="left" vertical="center" wrapText="1"/>
    </xf>
    <xf numFmtId="0" fontId="4" fillId="8" borderId="3" xfId="0" applyFont="1" applyFill="1" applyBorder="1" applyAlignment="1">
      <alignment horizontal="left" vertical="center"/>
    </xf>
    <xf numFmtId="0" fontId="4" fillId="8" borderId="4" xfId="0" applyFont="1" applyFill="1" applyBorder="1" applyAlignment="1">
      <alignment horizontal="left" vertical="center"/>
    </xf>
    <xf numFmtId="0" fontId="17" fillId="5" borderId="2"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0" fillId="11" borderId="1" xfId="0" applyFill="1" applyBorder="1" applyAlignment="1">
      <alignment vertical="center"/>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4" xfId="0"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4" xfId="0" applyFill="1" applyBorder="1" applyAlignment="1">
      <alignment horizontal="center" vertical="center" wrapText="1"/>
    </xf>
    <xf numFmtId="0" fontId="4" fillId="11" borderId="2" xfId="0" applyFont="1" applyFill="1" applyBorder="1" applyAlignment="1">
      <alignment horizontal="center" vertical="center" wrapText="1"/>
    </xf>
    <xf numFmtId="0" fontId="4" fillId="11" borderId="3"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9" fillId="0" borderId="2" xfId="0" applyFont="1" applyFill="1" applyBorder="1" applyAlignment="1">
      <alignment horizontal="center" vertical="center"/>
    </xf>
    <xf numFmtId="0" fontId="8"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4" fillId="0" borderId="1" xfId="0" applyFont="1" applyFill="1" applyBorder="1" applyAlignment="1">
      <alignment vertical="center"/>
    </xf>
    <xf numFmtId="0" fontId="4" fillId="0" borderId="1" xfId="0" applyFont="1" applyFill="1" applyBorder="1" applyAlignment="1">
      <alignment vertical="center" wrapText="1"/>
    </xf>
    <xf numFmtId="0" fontId="0" fillId="0" borderId="0" xfId="0" applyFill="1"/>
    <xf numFmtId="0" fontId="9" fillId="0" borderId="3" xfId="0" applyFont="1" applyFill="1" applyBorder="1" applyAlignment="1">
      <alignment horizontal="center" vertical="center"/>
    </xf>
    <xf numFmtId="0" fontId="8" fillId="0" borderId="3" xfId="0" applyFont="1" applyFill="1" applyBorder="1" applyAlignment="1">
      <alignment horizontal="center" vertical="center" wrapText="1"/>
    </xf>
    <xf numFmtId="0" fontId="9" fillId="0" borderId="4" xfId="0" applyFont="1" applyFill="1" applyBorder="1" applyAlignment="1">
      <alignment horizontal="center" vertical="center"/>
    </xf>
    <xf numFmtId="0" fontId="8" fillId="0" borderId="4"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19" fillId="12" borderId="40" xfId="0" applyFont="1" applyFill="1" applyBorder="1" applyAlignment="1">
      <alignment wrapText="1" vertical="center"/>
    </xf>
    <xf numFmtId="0" fontId="21" fillId="0" borderId="40" xfId="0" applyFont="1" applyFill="1" applyBorder="1" applyAlignment="1">
      <alignment wrapText="1" vertical="top"/>
    </xf>
    <xf numFmtId="0" fontId="20" fillId="0" borderId="40" xfId="0" applyFont="1" applyFill="1" applyBorder="1" applyAlignment="1">
      <alignment wrapText="1" vertical="top"/>
    </xf>
    <xf numFmtId="0" fontId="21" fillId="20" borderId="40" xfId="0" applyFont="1" applyFill="1" applyBorder="1" applyAlignment="1">
      <alignment wrapText="1" vertical="top"/>
    </xf>
    <xf numFmtId="0" fontId="20" fillId="13" borderId="40" xfId="0" applyFont="1" applyFill="1" applyBorder="1" applyAlignment="1">
      <alignment horizontal="center" wrapText="1" vertical="top"/>
    </xf>
    <xf numFmtId="0" fontId="20" fillId="14" borderId="40" xfId="0" applyFont="1" applyFill="1" applyBorder="1" applyAlignment="1">
      <alignment horizontal="center" wrapText="1" vertical="top"/>
    </xf>
    <xf numFmtId="0" fontId="20" fillId="15" borderId="40" xfId="0" applyFont="1" applyFill="1" applyBorder="1" applyAlignment="1">
      <alignment horizontal="center" wrapText="1" vertical="top"/>
    </xf>
    <xf numFmtId="0" fontId="19" fillId="16" borderId="40" xfId="0" applyFont="1" applyFill="1" applyBorder="1" applyAlignment="1">
      <alignment horizontal="center" wrapText="1" vertical="top"/>
    </xf>
    <xf numFmtId="0" fontId="20" fillId="17" borderId="40" xfId="0" applyFont="1" applyFill="1" applyBorder="1" applyAlignment="1">
      <alignment horizontal="center" wrapText="1" vertical="top"/>
    </xf>
    <xf numFmtId="0" fontId="20" fillId="18" borderId="40" xfId="0" applyFont="1" applyFill="1" applyBorder="1" applyAlignment="1">
      <alignment horizontal="center" wrapText="1" vertical="top"/>
    </xf>
    <xf numFmtId="0" fontId="20" fillId="19" borderId="40" xfId="0" applyFont="1" applyFill="1" applyBorder="1" applyAlignment="1">
      <alignment horizontal="center" wrapText="1" vertical="top"/>
    </xf>
  </cellXfs>
  <cellStyles count="1">
    <cellStyle name="Standard" xfId="0" builtinId="0"/>
  </cellStyles>
  <dxfs count="2">
    <dxf>
      <border diagonalUp="0" diagonalDown="0">
        <left style="thin">
          <color indexed="64"/>
        </left>
        <right/>
        <top style="thin">
          <color indexed="64"/>
        </top>
        <bottom style="thin">
          <color indexed="64"/>
        </bottom>
        <vertical/>
        <horizontal/>
      </border>
    </dxf>
    <dxf>
      <border outline="0">
        <bottom style="thin">
          <color indexed="64"/>
        </bottom>
      </border>
    </dxf>
  </dxfs>
  <tableStyles count="0" defaultTableStyle="TableStyleMedium2" defaultPivotStyle="PivotStyleLight16"/>
  <colors>
    <mruColors>
      <color rgb="FFEDBF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 Id="rId50" Type="http://schemas.openxmlformats.org/officeDocument/2006/relationships/worksheet" Target="worksheets/sheet5.xml"/></Relationships>
</file>

<file path=xl/persons/person.xml><?xml version="1.0" encoding="utf-8"?>
<personList xmlns="http://schemas.microsoft.com/office/spreadsheetml/2018/threadedcomments" xmlns:x="http://schemas.openxmlformats.org/spreadsheetml/2006/main">
  <person displayName="Szibbun, Kathrin" id="{7AEC17BD-862A-4129-839E-A064E79F8E27}" userId="S::kathrin.szibbun@diakonie-ruhr.de::365b44e0-1ca2-4e38-b871-c6fdbdcf0d05" providerId="AD"/>
  <person displayName="Merino-Kesting, Sandra" id="{43099ACC-FA5E-4556-863D-D3AF053DCEAE}" userId="S::Sandra.Merino-Kesting@diakonie-ruhr.de::c36283e0-89ee-44c6-936f-b39f76c323f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64BF9E-A242-4D9C-9592-E37E6D9603C5}" name="Tabelle1" displayName="Tabelle1" ref="A1:A5" totalsRowShown="0" tableBorderDxfId="1">
  <autoFilter ref="A1:A5" xr:uid="{1164BF9E-A242-4D9C-9592-E37E6D9603C5}"/>
  <tableColumns count="1">
    <tableColumn id="1" xr3:uid="{4EED5502-87E1-431F-965C-B65D0F28305E}" name="Bezug zum Organisationssystem" dataDxfId="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33C070-BE3F-4FAA-9B5F-F94B00E6121B}" name="Tabelle5" displayName="Tabelle5" ref="A10:A33" totalsRowShown="0">
  <autoFilter ref="A10:A33" xr:uid="{F833C070-BE3F-4FAA-9B5F-F94B00E6121B}"/>
  <tableColumns count="1">
    <tableColumn id="1" xr3:uid="{C9A042DF-C770-4BBA-BE42-BEAFA1B4F012}" name="beteiligte Rolle"/>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63391E-CA29-4DF0-A105-6CA96FA84D9F}" name="Tabelle6" displayName="Tabelle6" ref="A37:A39" totalsRowShown="0">
  <autoFilter ref="A37:A39" xr:uid="{7563391E-CA29-4DF0-A105-6CA96FA84D9F}"/>
  <tableColumns count="1">
    <tableColumn id="1" xr3:uid="{EE803706-C02D-4EC3-ADC5-276B9519D652}" name="Spalte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6E6A86-6BE9-48C1-AE90-C5F5780D799D}" name="Tabelle7" displayName="Tabelle7" ref="A42:A44" totalsRowShown="0">
  <autoFilter ref="A42:A44" xr:uid="{DA6E6A86-6BE9-48C1-AE90-C5F5780D799D}"/>
  <tableColumns count="1">
    <tableColumn id="1" xr3:uid="{6AA625AC-5FEA-4F8F-ACD2-081E15BE8F2E}" name="Spalte1"/>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94BDDB5-FB8F-42AF-A8AF-465369A1857B}" name="Tabelle8" displayName="Tabelle8" ref="A48:A54" totalsRowShown="0">
  <autoFilter ref="A48:A54" xr:uid="{294BDDB5-FB8F-42AF-A8AF-465369A1857B}"/>
  <tableColumns count="1">
    <tableColumn id="1" xr3:uid="{55EF00BF-8F5D-4E5E-A931-964E4B784A03}" name="Spalte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C8B598-DF33-4F2B-9B44-84311685DCAE}" name="Tabelle2" displayName="Tabelle2" ref="A57:A66" totalsRowShown="0">
  <autoFilter ref="A57:A66" xr:uid="{EBC8B598-DF33-4F2B-9B44-84311685DCAE}"/>
  <tableColumns count="1">
    <tableColumn id="1" xr3:uid="{98420C6E-6A25-494B-A7EE-8A0E7B71D3A6}" name="Verantwortlicher / Initiator"/>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BAB1C8-043B-422D-87CB-4F2B8266E29F}" name="Tabelle3" displayName="Tabelle3" ref="A69:A87" totalsRowShown="0">
  <autoFilter ref="A69:A87" xr:uid="{F8BAB1C8-043B-422D-87CB-4F2B8266E29F}"/>
  <tableColumns count="1">
    <tableColumn id="1" xr3:uid="{98AC6448-B275-4A8A-B851-4532FE7509BA}" name="Verteiler / Teilnehmer"/>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B5125C-DE87-45D7-8C44-5BA000C9C120}" name="Tabelle4" displayName="Tabelle4" ref="A91:A100" totalsRowShown="0">
  <autoFilter ref="A91:A100" xr:uid="{C5B5125C-DE87-45D7-8C44-5BA000C9C120}"/>
  <tableColumns count="1">
    <tableColumn id="1" xr3:uid="{BC472020-F9D1-4C0B-8CA4-03C8D948E0D0}" name="Terminfrequenz"/>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444BC07-764E-4D90-BEA5-02F6CB868DBE}" name="Tabelle9" displayName="Tabelle9" ref="A104:A111" totalsRowShown="0">
  <autoFilter ref="A104:A111" xr:uid="{7444BC07-764E-4D90-BEA5-02F6CB868DBE}"/>
  <tableColumns count="1">
    <tableColumn id="1" xr3:uid="{9C3DC6C9-B4AD-4F18-8794-7F03CCD80C09}" name="Kommunikationsforma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440375-4905-4B24-83BA-9F1BB04D23D4}" name="Tabelle10" displayName="Tabelle10" ref="A114:A120" totalsRowShown="0">
  <autoFilter ref="A114:A120" xr:uid="{EB440375-4905-4B24-83BA-9F1BB04D23D4}"/>
  <tableColumns count="1">
    <tableColumn id="1" xr3:uid="{150FDA6E-A4D8-4C5E-B2F2-65AE38AF907B}" name="Inhal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 dT="2026-05-05T08:48:58.18" personId="{43099ACC-FA5E-4556-863D-D3AF053DCEAE}" id="{7B26DFA8-E456-44C9-B484-3AD4E1CEBAB5}">
    <text>Für den ambulanten Bereich muss dieses modifiziert werden</text>
  </threadedComment>
  <threadedComment ref="B8" dT="2026-05-22T10:53:44.31" personId="{43099ACC-FA5E-4556-863D-D3AF053DCEAE}" id="{F25F52ED-D6CE-4B0C-B633-03944C250C4C}" parentId="{7B26DFA8-E456-44C9-B484-3AD4E1CEBAB5}">
    <text>BR sieht sich hier mitwirkend UND Entscheidend. Man kann nicht gleichzeitig in zwei unterschiedlichen Rollen beteiligt sein</text>
  </threadedComment>
  <threadedComment ref="B8" dT="2026-06-05T12:57:15.87" personId="{43099ACC-FA5E-4556-863D-D3AF053DCEAE}" id="{8AE49C22-8A19-49F5-A02B-82134BA09497}" parentId="{7B26DFA8-E456-44C9-B484-3AD4E1CEBAB5}">
    <text xml:space="preserve">Mitwirkend nach Betriebsverfassungsgesetz (§ 99 BetrVG bei Einstellung/Versetzung) </text>
  </threadedComment>
  <threadedComment ref="B14" dT="2026-05-22T10:52:58.00" personId="{43099ACC-FA5E-4556-863D-D3AF053DCEAE}" id="{D6207F33-0ED6-400D-B6A3-414E270B9241}">
    <text>BR sieht sich hier mitwirkend UND Entscheidend. Man kann nicht gleichzeitig in zwei unterschiedlichen Rollen beteiligt sein</text>
  </threadedComment>
  <threadedComment ref="B14" dT="2026-06-05T12:57:46.59" personId="{43099ACC-FA5E-4556-863D-D3AF053DCEAE}" id="{705A5A7E-C124-435D-B250-DE9A470032A5}" parentId="{D6207F33-0ED6-400D-B6A3-414E270B9241}">
    <text xml:space="preserve">Mitwirkend (§ 99 BetrVG) </text>
  </threadedComment>
  <threadedComment ref="B20" dT="2026-06-05T12:58:17.56" personId="{43099ACC-FA5E-4556-863D-D3AF053DCEAE}" id="{129151FA-19CD-4D16-86B8-BD3EDC9D5C7E}">
    <text xml:space="preserve">BR Beratend; ggf. teilweise Mitbestimmung bei konkreter Umsetzung (§§ 92, 96–98 BetrVG) WA Beratend, sofern wirtschaftliche Auswirkungen </text>
  </threadedComment>
  <threadedComment ref="B20" dT="2026-06-15T13:04:58.91" personId="{43099ACC-FA5E-4556-863D-D3AF053DCEAE}" id="{26139246-47D9-4F0A-BD73-475E940DE334}" parentId="{129151FA-19CD-4D16-86B8-BD3EDC9D5C7E}">
    <text>Stand:15.06., jetzt gerne mitwirkend</text>
  </threadedComment>
  <threadedComment ref="B27" dT="2026-05-22T10:52:14.42" personId="{43099ACC-FA5E-4556-863D-D3AF053DCEAE}" id="{277BFDF0-CD81-4599-A43E-F39462AC8A09}">
    <text>BR sieht sich entscheidend in Bezug auf operative Personalentwicklung in Bezug auf die Referate</text>
  </threadedComment>
  <threadedComment ref="B27" dT="2026-06-05T12:59:44.18" personId="{43099ACC-FA5E-4556-863D-D3AF053DCEAE}" id="{DCCC43CC-21E1-48CE-AF5E-AF935BB81FF7}" parentId="{277BFDF0-CD81-4599-A43E-F39462AC8A09}">
    <text xml:space="preserve">Beratend bis Mitwirkend je nach Maßnahme </text>
  </threadedComment>
  <threadedComment ref="B27" dT="2026-06-15T13:06:59.45" personId="{43099ACC-FA5E-4556-863D-D3AF053DCEAE}" id="{0DE3B6E1-C144-4614-AE12-3BE0A486C740}" parentId="{277BFDF0-CD81-4599-A43E-F39462AC8A09}">
    <text>Stand 15.6.: mitwirkend UND beratend</text>
  </threadedComment>
  <threadedComment ref="B35" dT="2026-06-05T13:00:57.33" personId="{43099ACC-FA5E-4556-863D-D3AF053DCEAE}" id="{27CC0D1D-9EC4-41F1-9267-B3EB7430DEFF}">
    <text xml:space="preserve">Beratend, bei Betriebsänderung ggf. deutlich stärkere Rechte (§§ 111 ff.) </text>
  </threadedComment>
  <threadedComment ref="B40" dT="2026-06-05T13:01:08.84" personId="{43099ACC-FA5E-4556-863D-D3AF053DCEAE}" id="{43916D02-6299-46F1-BE42-D4CCAC6F2BE0}">
    <text xml:space="preserve">meist Beratend, teilweise Mitbestimmend bei betrieblichen Bildungsmaßnahmen (§ 98 BetrVG) </text>
  </threadedComment>
  <threadedComment ref="B46" dT="2026-06-05T13:01:50.61" personId="{43099ACC-FA5E-4556-863D-D3AF053DCEAE}" id="{73FCB8D1-C12F-4EBC-BC0A-658B793ADEAC}">
    <text>BR: Mitwirkend, wenn Leistungs-/Verhaltenskontrolle oder Arbeitszeit betroffen (§ 87) WA wird informiert</text>
  </threadedComment>
  <threadedComment ref="B46" dT="2026-06-15T13:20:48.02" personId="{43099ACC-FA5E-4556-863D-D3AF053DCEAE}" id="{11DB230E-F7F0-4E7C-904B-FA6BE91FEFA6}" parentId="{73FCB8D1-C12F-4EBC-BC0A-658B793ADEAC}">
    <text>Stand 15.06. BR wünscht sich weiterhin mitwirkend</text>
  </threadedComment>
  <threadedComment ref="B52" dT="2026-06-05T13:03:04.99" personId="{43099ACC-FA5E-4556-863D-D3AF053DCEAE}" id="{569ACDAF-44A9-4180-B67F-E5362636A0A6}">
    <text xml:space="preserve">BR Mitwirkend (§ 99 BetrVG) </text>
  </threadedComment>
  <threadedComment ref="B58" dT="2026-06-05T13:22:44.19" personId="{43099ACC-FA5E-4556-863D-D3AF053DCEAE}" id="{3A0C770F-2E85-40AB-8A8A-FF5BC0664806}">
    <text xml:space="preserve">Beratend; ggf. teilweise Mitbestimmung bei konkreter Umsetzung (§§ 92, 96–98 BetrVG) </text>
  </threadedComment>
  <threadedComment ref="B64" dT="2026-06-05T13:03:36.58" personId="{43099ACC-FA5E-4556-863D-D3AF053DCEAE}" id="{D5AF2DC1-8DD6-451C-83FE-AE285E4DACE1}">
    <text xml:space="preserve">Beratend, teilweise Mitbestimmung bei Ausgestaltung (§§ 96–98) </text>
  </threadedComment>
  <threadedComment ref="B71" dT="2026-05-22T10:56:55.52" personId="{43099ACC-FA5E-4556-863D-D3AF053DCEAE}" id="{AD87B9D3-7D48-4AF4-BD26-2B55A70A3671}">
    <text>BR wünscht Ergänzung Ausbildungsbeauftragte, Erläuterung: Abbildung nur bis Ebene EL, nicht darunter</text>
  </threadedComment>
  <threadedComment ref="B71" dT="2026-06-15T13:12:51.27" personId="{43099ACC-FA5E-4556-863D-D3AF053DCEAE}" id="{70FC58B4-793A-4CB5-A2B8-AA0CE8EA4C9F}" parentId="{AD87B9D3-7D48-4AF4-BD26-2B55A70A3671}">
    <text>Stand:15.06.: Weiterhin der Wunsch die Ausbildungsbeauftragten abzubilden</text>
  </threadedComment>
  <threadedComment ref="B77" dT="2026-06-05T13:04:15.20" personId="{43099ACC-FA5E-4556-863D-D3AF053DCEAE}" id="{2961545C-8DF4-4354-8193-E7A1D4FDE5C6}">
    <text xml:space="preserve">Mitwirkend (§ 99 BetrVG) </text>
  </threadedComment>
  <threadedComment ref="B83" dT="2026-06-05T13:04:41.56" personId="{43099ACC-FA5E-4556-863D-D3AF053DCEAE}" id="{571BE41F-3D09-4C12-AC95-67D978E62CFF}">
    <text xml:space="preserve">Beratend </text>
  </threadedComment>
  <threadedComment ref="B90" dT="2026-06-05T13:05:01.03" personId="{43099ACC-FA5E-4556-863D-D3AF053DCEAE}" id="{2EBB48AA-F1F7-42B5-8BBD-64E0436F4EA7}">
    <text xml:space="preserve">Beratend </text>
  </threadedComment>
  <threadedComment ref="B96" dT="2026-06-05T13:05:44.03" personId="{43099ACC-FA5E-4556-863D-D3AF053DCEAE}" id="{6B70549C-8C46-4B7D-B11F-EEE1EF10D096}">
    <text xml:space="preserve">BR bei Kündigung: Mitwirkend (Anhörung nach § 102 BetrVG zwingend) Abmahnung:  grundsätzlich Informiert/Beratend (kein Mitbestimmungsrecht) </text>
  </threadedComment>
  <threadedComment ref="B96" dT="2026-06-15T13:18:37.72" personId="{43099ACC-FA5E-4556-863D-D3AF053DCEAE}" id="{A9B302DA-F272-48F7-A432-E5E516E7F8D3}" parentId="{6B70549C-8C46-4B7D-B11F-EEE1EF10D096}">
    <text>Stand 15.06.: BR wünscht mitwirkend angehakt</text>
  </threadedComment>
  <threadedComment ref="B108" dT="2026-06-05T13:06:58.75" personId="{43099ACC-FA5E-4556-863D-D3AF053DCEAE}" id="{242EE66D-E65D-4B50-8B76-37DF9689A86B}">
    <text xml:space="preserve">Beratend (klassische WA-Angelegenheit) </text>
  </threadedComment>
  <threadedComment ref="B114" dT="2026-06-05T13:07:56.70" personId="{43099ACC-FA5E-4556-863D-D3AF053DCEAE}" id="{B3036DC9-5476-4A65-893A-033E66EA2578}">
    <text xml:space="preserve">BR: Informiert, ggf. stärker bei Betriebsänderung, WA: Beratend (§ 106 Abs. 3 BetrVG </text>
  </threadedComment>
  <threadedComment ref="L116" dT="2026-04-14T08:57:15.12" personId="{43099ACC-FA5E-4556-863D-D3AF053DCEAE}" id="{D98DDCF8-92D5-4F21-9051-C1E1DEEAF2A3}">
    <text>Sonstiges Anlagevermögen</text>
  </threadedComment>
  <threadedComment ref="B121" dT="2026-05-05T09:20:41.68" personId="{43099ACC-FA5E-4556-863D-D3AF053DCEAE}" id="{93451156-B17A-490A-AB1B-74CED5B9D542}">
    <text>Investitionen und Verbrauch trennen und zwei Punkte anlegen</text>
  </threadedComment>
  <threadedComment ref="B121" dT="2026-06-05T13:08:48.18" personId="{43099ACC-FA5E-4556-863D-D3AF053DCEAE}" id="{57267D27-3964-4F81-89F6-1B13D0CA1FA9}" parentId="{93451156-B17A-490A-AB1B-74CED5B9D542}">
    <text>BR: Informiert, WA: Beratend bei wirtschaftlicher Relevanz</text>
  </threadedComment>
  <threadedComment ref="B133" dT="2026-06-05T13:09:57.47" personId="{43099ACC-FA5E-4556-863D-D3AF053DCEAE}" id="{08A31305-5108-41B7-AF33-C1E59DD7AAD6}">
    <text>WA: beratend</text>
  </threadedComment>
  <threadedComment ref="B133" dT="2026-06-15T13:25:48.84" personId="{43099ACC-FA5E-4556-863D-D3AF053DCEAE}" id="{AB9EAC04-2F22-48CF-92F6-25C3BA1B7BAE}" parentId="{08A31305-5108-41B7-AF33-C1E59DD7AAD6}">
    <text>Stand 15.06.: BR „informiert“ gewünscht,  ASA als fehlend benannt</text>
  </threadedComment>
  <threadedComment ref="B145" dT="2026-06-05T13:10:36.22" personId="{43099ACC-FA5E-4556-863D-D3AF053DCEAE}" id="{AA3E20E7-4D87-4FE5-8673-7BB890C34955}">
    <text>WA: beratend</text>
  </threadedComment>
  <threadedComment ref="B167" dT="2026-06-05T13:11:28.82" personId="{43099ACC-FA5E-4556-863D-D3AF053DCEAE}" id="{0B66C97E-53AD-41B5-A9E2-2D90657847D8}">
    <text>WA: beratend</text>
  </threadedComment>
  <threadedComment ref="B167" dT="2026-06-15T13:27:19.74" personId="{43099ACC-FA5E-4556-863D-D3AF053DCEAE}" id="{BFA3E789-7087-4FD1-9C92-FF8DA32A56E9}" parentId="{0B66C97E-53AD-41B5-A9E2-2D90657847D8}">
    <text>Stand 15.06: Wunsch des BR,  unter informiert benennen</text>
  </threadedComment>
  <threadedComment ref="B179" dT="2026-05-05T09:38:40.95" personId="{43099ACC-FA5E-4556-863D-D3AF053DCEAE}" id="{E1EABFBE-48C3-4F2F-8CE0-652B0502D2DC}">
    <text>Aus der Liste nehmen?</text>
  </threadedComment>
  <threadedComment ref="B179" dT="2026-05-05T09:39:26.57" personId="{43099ACC-FA5E-4556-863D-D3AF053DCEAE}" id="{A822FC36-4046-411F-8C1E-70153AB9B423}" parentId="{E1EABFBE-48C3-4F2F-8CE0-652B0502D2DC}">
    <text>Muss konkretisiert werden...</text>
  </threadedComment>
  <threadedComment ref="B184" dT="2026-05-22T10:50:52.08" personId="{43099ACC-FA5E-4556-863D-D3AF053DCEAE}" id="{F0C23273-40C8-4BF0-8286-72D7251F2611}">
    <text>BR sieht sich in jeder Ebene der Projektinitiierung als mitwirkend</text>
  </threadedComment>
  <threadedComment ref="B184" dT="2026-06-15T13:29:46.61" personId="{43099ACC-FA5E-4556-863D-D3AF053DCEAE}" id="{46AC3A63-0EFF-4B28-9C2E-3B89E9F0315D}" parentId="{F0C23273-40C8-4BF0-8286-72D7251F2611}">
    <text>Stand 15.06.: Weiterhin Wunsch des BR in der Spalte „mitwirkend“ auf allen drei Ebenen genannt zu werden, je nach Projektart (Grundlage: §87, §111, § 92, §99 Betr VG, wird angeführt)</text>
  </threadedComment>
  <threadedComment ref="B194" dT="2026-06-05T13:12:52.54" personId="{43099ACC-FA5E-4556-863D-D3AF053DCEAE}" id="{820DC79C-8A42-4F57-9834-8D97E970B7CC}">
    <text xml:space="preserve">Verfahrensanweisungen: Beratend, ggf. mitbestimmend bei Auswirkungen auf Ordnung des Betriebs oder Überwachung (§ 87) Arbeitsanweisungen: Beratend, ggf. Mitbestimmend bei mitbestimmungspflichtigen Auswirkungen </text>
  </threadedComment>
</ThreadedComments>
</file>

<file path=xl/threadedComments/threadedComment2.xml><?xml version="1.0" encoding="utf-8"?>
<ThreadedComments xmlns="http://schemas.microsoft.com/office/spreadsheetml/2018/threadedcomments" xmlns:x="http://schemas.openxmlformats.org/spreadsheetml/2006/main">
  <threadedComment ref="I2" dT="2026-03-27T09:39:13.23" personId="{43099ACC-FA5E-4556-863D-D3AF053DCEAE}" id="{3058791F-A7E2-4E70-9A91-34CD8B90F07E}">
    <text>Sharepoint Ablage für die Protokolle</text>
  </threadedComment>
  <threadedComment ref="B12" dT="2026-10-08T10:14:17.18" personId="{7AEC17BD-862A-4129-839E-A064E79F8E27}" id="{7BC80DCA-F8D6-46E7-8CE2-40BA3A29CDE6}">
    <text>Kann das dann raus, wenn jetzt alle Referate einzeln aufgeführt sind? Soll der Inhalt in die einzelnen Referate kopiert werden, oder ergänzen die Referate ihre Inhalte noch selbst?</text>
  </threadedComment>
  <threadedComment ref="G13" dT="2026-05-05T13:54:55.97" personId="{43099ACC-FA5E-4556-863D-D3AF053DCEAE}" id="{36C759C7-3D20-4EBD-AD46-A57C90832F0D}">
    <text>In Abstimmung Referatsleitung / GF</text>
  </threadedComment>
  <threadedComment ref="F54" dT="2026-05-05T14:19:20.25" personId="{43099ACC-FA5E-4556-863D-D3AF053DCEAE}" id="{59D11D46-0ED6-4BCC-82C6-8B487BBA045A}">
    <text>Vorbereitung / Moderation</text>
  </threadedComment>
  <threadedComment ref="F55" dT="2026-05-05T10:40:36.13" personId="{43099ACC-FA5E-4556-863D-D3AF053DCEAE}" id="{03282F3B-8111-4981-BA4A-A3745F5DD238}">
    <text>Hier ggf Referatsleitungen hinzunehmen</text>
  </threadedComment>
  <threadedComment ref="B57" dT="2026-06-05T12:38:43.32" personId="{43099ACC-FA5E-4556-863D-D3AF053DCEAE}" id="{C8D83408-A63B-4B50-9F5A-2CB35CA64FC6}">
    <text xml:space="preserve">Ein Wunsch des BR, generell an allen projektbezogenen Statusmeetings teilzunehmen, ist  nicht unmittelbar durch das BetrVG gedeckt. Ein Informationsanspruch bezüglich mitbestimmungsrelevanter Projektthemen besteht dagegen </text>
  </threadedComment>
  <threadedComment ref="B67" dT="2026-06-05T12:37:42.06" personId="{43099ACC-FA5E-4556-863D-D3AF053DCEAE}" id="{317ADEBB-E3D9-43A7-A272-4D2BBB5486E1}">
    <text xml:space="preserve">Ein Anspruch auf ständige Teilnahme an referats- oder themenbezogenen Steuerkreisen ergibt sich aus dem BetrVG grundsätzlich nicht. Der Arbeitgeber muss jedoch die dort behandelten wirtschaftlichen Sachverhalte gegenüber dem Wirtschaftsausschuss offenlegen, soweit sie dessen Aufgabenbereich betreffe </text>
  </threadedComment>
  <threadedComment ref="E103" dT="2026-04-14T09:38:13.96" personId="{43099ACC-FA5E-4556-863D-D3AF053DCEAE}" id="{B832F370-AFE8-48A7-B931-A158EB5D162B}">
    <text>Aufteilung nach Themen</text>
  </threadedComment>
  <threadedComment ref="B117" dT="2026-06-05T12:42:16.97" personId="{43099ACC-FA5E-4556-863D-D3AF053DCEAE}" id="{A41703C2-A3B8-45A9-B292-9A29C637DDC0}">
    <text xml:space="preserve">BR: Teilnahme nur insoweit gesetzlich begründbar, wie die behandelten Themen Beteiligungsrechte des Betriebsrats berühren. Kein generelles Dauerteilnahmerecht. 
WA: Grundsätzlich kein Teilnahmerecht an einem Referats-Jour fixe; stattdessen Anspruch auf Information über wirtschaftlich relevante Inhalte. 
Ständiger Sitz von BR und WA im JF QM &amp; Regulatorik: Nach dem BetrVG allein regelmäßig nicht zwingend legitimierbar, da es sich um ein fachlich-operatives Steuerungs- bzw. Abstimmungsgremium handelt.
</text>
  </threadedComment>
  <threadedComment ref="B152" dT="2026-05-22T11:25:48.56" personId="{43099ACC-FA5E-4556-863D-D3AF053DCEAE}" id="{0E496F98-F23E-49A1-8C84-5EFD78270369}">
    <text>Kommentar nicht nachvollziehbar</text>
  </threadedComment>
  <threadedComment ref="B157" dT="2026-05-22T11:19:30.89" personId="{43099ACC-FA5E-4556-863D-D3AF053DCEAE}" id="{2DD9C60D-5C66-440D-9B7D-DAF47C7E9F3F}">
    <text>Vgl. Nr. 32, Terminierung offenbar monatlich und in Gesamtbesetzung erwünscht</text>
  </threadedComment>
  <threadedComment ref="B167" dT="2026-05-22T11:21:42.94" personId="{43099ACC-FA5E-4556-863D-D3AF053DCEAE}" id="{F7A7FE83-2318-44FB-A8D0-6C478A8E5A73}">
    <text>Inhalte, etc...fehlen</text>
  </threadedComment>
  <threadedComment ref="C169" dT="2026-10-07T10:41:40.16" personId="{7AEC17BD-862A-4129-839E-A064E79F8E27}" id="{466034E6-E8A9-4CA2-8E17-A215896ECEA7}">
    <text>stimmt da die Zeit? Geht ja aus dem Kalender von Herrn Fritsch nicht hervor...</text>
  </threadedComment>
  <threadedComment ref="B172" dT="2026-05-22T11:21:55.28" personId="{43099ACC-FA5E-4556-863D-D3AF053DCEAE}" id="{5FDAF7C5-A6EA-4F2F-BA17-F0E9E9699695}">
    <text>Inhalte, etc. fehlen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A0B94-8DD1-40DC-A144-C02C203841A0}">
  <sheetPr codeName="Tabelle2"/>
  <dimension ref="A3:A53"/>
  <sheetViews>
    <sheetView topLeftCell="A51" zoomScaleNormal="100" workbookViewId="0">
      <selection activeCell="C53" sqref="C53"/>
    </sheetView>
  </sheetViews>
  <sheetFormatPr baseColWidth="10" defaultColWidth="11.42578125" defaultRowHeight="15" x14ac:dyDescent="0.25"/>
  <cols>
    <col min="1" max="1" width="72.28515625" customWidth="1"/>
  </cols>
  <sheetData>
    <row r="3" spans="1:1" ht="15.75" thickBot="1" x14ac:dyDescent="0.3">
      <c r="A3" s="6" t="s">
        <v>0</v>
      </c>
    </row>
    <row r="4" spans="1:1" ht="109.35" customHeight="1" thickBot="1" x14ac:dyDescent="0.3">
      <c r="A4" s="8" t="s">
        <v>1</v>
      </c>
    </row>
    <row r="6" spans="1:1" ht="15.75" thickBot="1" x14ac:dyDescent="0.3"/>
    <row r="7" spans="1:1" ht="45.75" thickBot="1" x14ac:dyDescent="0.3">
      <c r="A7" s="9" t="s">
        <v>2</v>
      </c>
    </row>
    <row r="9" spans="1:1" ht="15.75" thickBot="1" x14ac:dyDescent="0.3"/>
    <row r="10" spans="1:1" ht="75.75" thickBot="1" x14ac:dyDescent="0.3">
      <c r="A10" s="10" t="s">
        <v>3</v>
      </c>
    </row>
    <row r="12" spans="1:1" ht="15.75" thickBot="1" x14ac:dyDescent="0.3"/>
    <row r="13" spans="1:1" x14ac:dyDescent="0.25">
      <c r="A13" s="25" t="s">
        <v>4</v>
      </c>
    </row>
    <row r="14" spans="1:1" x14ac:dyDescent="0.25">
      <c r="A14" s="26" t="s">
        <v>5</v>
      </c>
    </row>
    <row r="15" spans="1:1" x14ac:dyDescent="0.25">
      <c r="A15" s="26" t="s">
        <v>6</v>
      </c>
    </row>
    <row r="16" spans="1:1" x14ac:dyDescent="0.25">
      <c r="A16" s="26" t="s">
        <v>7</v>
      </c>
    </row>
    <row r="17" spans="1:1" x14ac:dyDescent="0.25">
      <c r="A17" s="26" t="s">
        <v>8</v>
      </c>
    </row>
    <row r="18" spans="1:1" x14ac:dyDescent="0.25">
      <c r="A18" s="86" t="s">
        <v>9</v>
      </c>
    </row>
    <row r="19" spans="1:1" x14ac:dyDescent="0.25">
      <c r="A19" s="26" t="s">
        <v>10</v>
      </c>
    </row>
    <row r="20" spans="1:1" x14ac:dyDescent="0.25">
      <c r="A20" s="26" t="s">
        <v>11</v>
      </c>
    </row>
    <row r="21" spans="1:1" x14ac:dyDescent="0.25">
      <c r="A21" s="26" t="s">
        <v>12</v>
      </c>
    </row>
    <row r="22" spans="1:1" ht="15.75" thickBot="1" x14ac:dyDescent="0.3">
      <c r="A22" s="27" t="s">
        <v>13</v>
      </c>
    </row>
    <row r="23" spans="1:1" ht="15.75" thickBot="1" x14ac:dyDescent="0.3"/>
    <row r="24" spans="1:1" x14ac:dyDescent="0.25">
      <c r="A24" s="28" t="s">
        <v>14</v>
      </c>
    </row>
    <row r="25" spans="1:1" x14ac:dyDescent="0.25">
      <c r="A25" s="29" t="s">
        <v>15</v>
      </c>
    </row>
    <row r="26" spans="1:1" x14ac:dyDescent="0.25">
      <c r="A26" s="29" t="s">
        <v>16</v>
      </c>
    </row>
    <row r="27" spans="1:1" x14ac:dyDescent="0.25">
      <c r="A27" s="29" t="s">
        <v>17</v>
      </c>
    </row>
    <row r="28" spans="1:1" x14ac:dyDescent="0.25">
      <c r="A28" s="29" t="s">
        <v>18</v>
      </c>
    </row>
    <row r="29" spans="1:1" x14ac:dyDescent="0.25">
      <c r="A29" s="87" t="s">
        <v>19</v>
      </c>
    </row>
    <row r="30" spans="1:1" x14ac:dyDescent="0.25">
      <c r="A30" s="87" t="s">
        <v>20</v>
      </c>
    </row>
    <row r="31" spans="1:1" x14ac:dyDescent="0.25">
      <c r="A31" s="29" t="s">
        <v>21</v>
      </c>
    </row>
    <row r="32" spans="1:1" x14ac:dyDescent="0.25">
      <c r="A32" s="29" t="s">
        <v>22</v>
      </c>
    </row>
    <row r="33" spans="1:1" ht="15.75" thickBot="1" x14ac:dyDescent="0.3">
      <c r="A33" s="30" t="s">
        <v>23</v>
      </c>
    </row>
    <row r="40" spans="1:1" ht="15.75" thickBot="1" x14ac:dyDescent="0.3">
      <c r="A40" s="6" t="s">
        <v>24</v>
      </c>
    </row>
    <row r="41" spans="1:1" ht="60" x14ac:dyDescent="0.25">
      <c r="A41" s="88" t="s">
        <v>25</v>
      </c>
    </row>
    <row r="42" spans="1:1" x14ac:dyDescent="0.25">
      <c r="A42" s="89" t="s">
        <v>26</v>
      </c>
    </row>
    <row r="43" spans="1:1" x14ac:dyDescent="0.25">
      <c r="A43" s="89" t="s">
        <v>27</v>
      </c>
    </row>
    <row r="44" spans="1:1" ht="15.75" thickBot="1" x14ac:dyDescent="0.3">
      <c r="A44" s="90" t="s">
        <v>28</v>
      </c>
    </row>
    <row r="45" spans="1:1" ht="15.75" thickBot="1" x14ac:dyDescent="0.3"/>
    <row r="46" spans="1:1" ht="30.75" thickBot="1" x14ac:dyDescent="0.3">
      <c r="A46" s="9" t="s">
        <v>29</v>
      </c>
    </row>
    <row r="47" spans="1:1" ht="15.75" thickBot="1" x14ac:dyDescent="0.3"/>
    <row r="48" spans="1:1" x14ac:dyDescent="0.25">
      <c r="A48" s="91" t="s">
        <v>30</v>
      </c>
    </row>
    <row r="49" spans="1:1" ht="60" x14ac:dyDescent="0.25">
      <c r="A49" s="92" t="s">
        <v>31</v>
      </c>
    </row>
    <row r="50" spans="1:1" ht="75.75" thickBot="1" x14ac:dyDescent="0.3">
      <c r="A50" s="93" t="s">
        <v>32</v>
      </c>
    </row>
    <row r="52" spans="1:1" ht="15.75" thickBot="1" x14ac:dyDescent="0.3"/>
    <row r="53" spans="1:1" ht="315.75" thickBot="1" x14ac:dyDescent="0.3">
      <c r="A53" s="94" t="s">
        <v>33</v>
      </c>
    </row>
  </sheetData>
  <sheetProtection algorithmName="SHA-512" hashValue="TeB7PCG74bwYYt6NZC6jVMdEQYN2R1evkqmKVQtsWsZaNTqcJig3eBTtcLrlSCPiFs2mkdm+9qQXqpCf2OIhzQ==" saltValue="ztQNZwz4PkcyjCA4wUdsvQ==" spinCount="100000" sheet="1" objects="1" scenarios="1"/>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pageSetUpPr fitToPage="1"/>
  </sheetPr>
  <dimension ref="A1:Q265"/>
  <sheetViews>
    <sheetView zoomScale="106" zoomScaleNormal="106" zoomScaleSheetLayoutView="71" workbookViewId="0">
      <pane ySplit="1" topLeftCell="A18" activePane="bottomLeft" state="frozen"/>
      <selection pane="bottomLeft" activeCell="I20" sqref="I20"/>
    </sheetView>
  </sheetViews>
  <sheetFormatPr baseColWidth="10" defaultColWidth="9.28515625" defaultRowHeight="15" x14ac:dyDescent="0.25"/>
  <cols>
    <col min="1" max="1" width="4.42578125" style="6" customWidth="1"/>
    <col min="2" max="2" width="28.28515625" style="6" customWidth="1"/>
    <col min="3" max="3" width="13.28515625" style="1" customWidth="1"/>
    <col min="4" max="4" width="24.28515625" style="1" customWidth="1"/>
    <col min="5" max="5" width="14.28515625" style="1" customWidth="1"/>
    <col min="6" max="6" width="11.42578125" customWidth="1"/>
    <col min="7" max="7" width="8.28515625" customWidth="1"/>
    <col min="8" max="8" width="26.42578125" customWidth="1"/>
    <col min="9" max="9" width="24.7109375" customWidth="1"/>
    <col min="10" max="10" width="18" style="1" customWidth="1"/>
    <col min="11" max="11" width="22.28515625" style="1" customWidth="1"/>
    <col min="12" max="12" width="17.28515625" style="1" customWidth="1"/>
    <col min="13" max="13" width="14.5703125" customWidth="1"/>
    <col min="14" max="14" width="29.5703125" customWidth="1"/>
    <col min="15" max="15" width="56.28515625" customWidth="1"/>
  </cols>
  <sheetData>
    <row r="1" spans="1:17" s="6" customFormat="1" ht="83.25" customHeight="1" x14ac:dyDescent="0.25">
      <c r="A1" s="61" t="s">
        <v>34</v>
      </c>
      <c r="B1" s="62" t="s">
        <v>35</v>
      </c>
      <c r="C1" s="63" t="s">
        <v>36</v>
      </c>
      <c r="D1" s="62" t="s">
        <v>37</v>
      </c>
      <c r="E1" s="62" t="s">
        <v>38</v>
      </c>
      <c r="F1" s="62" t="s">
        <v>39</v>
      </c>
      <c r="G1" s="62" t="s">
        <v>40</v>
      </c>
      <c r="H1" s="62" t="s">
        <v>41</v>
      </c>
      <c r="I1" s="62" t="s">
        <v>42</v>
      </c>
      <c r="J1" s="62" t="s">
        <v>43</v>
      </c>
      <c r="K1" s="62" t="s">
        <v>44</v>
      </c>
      <c r="L1" s="62" t="s">
        <v>45</v>
      </c>
      <c r="M1" s="62" t="s">
        <v>46</v>
      </c>
      <c r="N1" s="62" t="s">
        <v>47</v>
      </c>
    </row>
    <row r="2" spans="1:17" ht="33" customHeight="1" x14ac:dyDescent="0.25">
      <c r="A2" s="343">
        <v>1</v>
      </c>
      <c r="B2" s="353" t="s">
        <v>48</v>
      </c>
      <c r="C2" s="333" t="s">
        <v>49</v>
      </c>
      <c r="D2" s="60" t="s">
        <v>50</v>
      </c>
      <c r="E2" s="333" t="s">
        <v>51</v>
      </c>
      <c r="F2" s="334" t="s">
        <v>52</v>
      </c>
      <c r="G2" s="333" t="s">
        <v>52</v>
      </c>
      <c r="H2" s="2" t="s">
        <v>53</v>
      </c>
      <c r="I2" s="2"/>
      <c r="J2" s="2" t="s">
        <v>54</v>
      </c>
      <c r="K2" s="234" t="s">
        <v>55</v>
      </c>
      <c r="L2" s="38"/>
      <c r="M2" s="20"/>
      <c r="N2" s="385" t="s">
        <v>56</v>
      </c>
      <c r="Q2" s="57"/>
    </row>
    <row r="3" spans="1:17" ht="26.25" customHeight="1" x14ac:dyDescent="0.25">
      <c r="A3" s="343"/>
      <c r="B3" s="353"/>
      <c r="C3" s="333"/>
      <c r="D3" s="60"/>
      <c r="E3" s="333"/>
      <c r="F3" s="334"/>
      <c r="G3" s="333"/>
      <c r="H3" s="5"/>
      <c r="I3" s="5"/>
      <c r="J3" s="5" t="s">
        <v>57</v>
      </c>
      <c r="K3" s="2"/>
      <c r="L3" s="38"/>
      <c r="M3" s="20"/>
      <c r="N3" s="385"/>
      <c r="P3" s="57"/>
    </row>
    <row r="4" spans="1:17" ht="28.35" customHeight="1" x14ac:dyDescent="0.25">
      <c r="A4" s="343"/>
      <c r="B4" s="353"/>
      <c r="C4" s="333"/>
      <c r="D4" s="60"/>
      <c r="E4" s="333"/>
      <c r="F4" s="334"/>
      <c r="G4" s="333"/>
      <c r="H4" s="4"/>
      <c r="I4" s="4"/>
      <c r="J4" s="2" t="s">
        <v>58</v>
      </c>
      <c r="K4" s="2"/>
      <c r="L4" s="38"/>
      <c r="M4" s="20"/>
      <c r="N4" s="385"/>
      <c r="P4" s="57"/>
    </row>
    <row r="5" spans="1:17" ht="26.1" customHeight="1" x14ac:dyDescent="0.25">
      <c r="A5" s="343"/>
      <c r="B5" s="353"/>
      <c r="C5" s="333"/>
      <c r="D5" s="60"/>
      <c r="E5" s="333"/>
      <c r="F5" s="334"/>
      <c r="G5" s="333"/>
      <c r="H5" s="4"/>
      <c r="I5" s="4"/>
      <c r="J5" s="2"/>
      <c r="K5" s="2"/>
      <c r="L5" s="38"/>
      <c r="M5" s="20"/>
      <c r="N5" s="385"/>
      <c r="P5" s="57"/>
    </row>
    <row r="6" spans="1:17" ht="27" customHeight="1" x14ac:dyDescent="0.25">
      <c r="A6" s="343"/>
      <c r="B6" s="353"/>
      <c r="C6" s="333"/>
      <c r="D6" s="60"/>
      <c r="E6" s="333"/>
      <c r="F6" s="334"/>
      <c r="G6" s="333"/>
      <c r="H6" s="4"/>
      <c r="I6" s="4"/>
      <c r="J6" s="2"/>
      <c r="K6" s="2"/>
      <c r="L6" s="38"/>
      <c r="M6" s="20"/>
      <c r="N6" s="385"/>
      <c r="P6" s="57"/>
    </row>
    <row r="7" spans="1:17" ht="27" customHeight="1" x14ac:dyDescent="0.25">
      <c r="A7" s="343"/>
      <c r="B7" s="353"/>
      <c r="C7" s="333"/>
      <c r="D7" s="60"/>
      <c r="E7" s="333"/>
      <c r="F7" s="334"/>
      <c r="G7" s="333"/>
      <c r="H7" s="4"/>
      <c r="I7" s="4"/>
      <c r="J7" s="2"/>
      <c r="K7" s="2"/>
      <c r="L7" s="38"/>
      <c r="M7" s="20"/>
      <c r="N7" s="385"/>
    </row>
    <row r="8" spans="1:17" ht="33" customHeight="1" x14ac:dyDescent="0.25">
      <c r="A8" s="344">
        <v>2</v>
      </c>
      <c r="B8" s="354" t="s">
        <v>59</v>
      </c>
      <c r="C8" s="335" t="s">
        <v>49</v>
      </c>
      <c r="D8" s="59" t="s">
        <v>50</v>
      </c>
      <c r="E8" s="335" t="s">
        <v>51</v>
      </c>
      <c r="F8" s="336" t="s">
        <v>52</v>
      </c>
      <c r="G8" s="335" t="s">
        <v>52</v>
      </c>
      <c r="H8" s="19" t="s">
        <v>60</v>
      </c>
      <c r="I8" s="19" t="s">
        <v>53</v>
      </c>
      <c r="J8" s="19" t="s">
        <v>57</v>
      </c>
      <c r="K8" s="168"/>
      <c r="L8" s="39"/>
      <c r="M8" s="21"/>
      <c r="N8" s="335" t="s">
        <v>61</v>
      </c>
      <c r="Q8" s="57"/>
    </row>
    <row r="9" spans="1:17" ht="26.25" customHeight="1" x14ac:dyDescent="0.25">
      <c r="A9" s="344"/>
      <c r="B9" s="354"/>
      <c r="C9" s="335"/>
      <c r="D9" s="59"/>
      <c r="E9" s="335"/>
      <c r="F9" s="336"/>
      <c r="G9" s="335"/>
      <c r="H9" s="161"/>
      <c r="I9" s="126" t="s">
        <v>55</v>
      </c>
      <c r="J9" s="16" t="s">
        <v>54</v>
      </c>
      <c r="K9" s="19"/>
      <c r="L9" s="39"/>
      <c r="M9" s="21"/>
      <c r="N9" s="335"/>
      <c r="P9" s="57"/>
    </row>
    <row r="10" spans="1:17" ht="28.35" customHeight="1" x14ac:dyDescent="0.25">
      <c r="A10" s="344"/>
      <c r="B10" s="354"/>
      <c r="C10" s="335"/>
      <c r="D10" s="59"/>
      <c r="E10" s="335"/>
      <c r="F10" s="336"/>
      <c r="G10" s="335"/>
      <c r="H10" s="17"/>
      <c r="I10" s="227"/>
      <c r="J10" s="19"/>
      <c r="K10" s="19"/>
      <c r="L10" s="39"/>
      <c r="M10" s="21"/>
      <c r="N10" s="335"/>
      <c r="P10" s="57"/>
    </row>
    <row r="11" spans="1:17" ht="26.1" customHeight="1" x14ac:dyDescent="0.25">
      <c r="A11" s="344"/>
      <c r="B11" s="354"/>
      <c r="C11" s="335"/>
      <c r="D11" s="59"/>
      <c r="E11" s="335"/>
      <c r="F11" s="336"/>
      <c r="G11" s="335"/>
      <c r="H11" s="17"/>
      <c r="I11" s="17"/>
      <c r="J11" s="19"/>
      <c r="K11" s="19"/>
      <c r="L11" s="39"/>
      <c r="M11" s="21"/>
      <c r="N11" s="335"/>
      <c r="P11" s="57"/>
    </row>
    <row r="12" spans="1:17" ht="27" customHeight="1" x14ac:dyDescent="0.25">
      <c r="A12" s="344"/>
      <c r="B12" s="354"/>
      <c r="C12" s="335"/>
      <c r="D12" s="59"/>
      <c r="E12" s="335"/>
      <c r="F12" s="336"/>
      <c r="G12" s="335"/>
      <c r="H12" s="17"/>
      <c r="I12" s="17"/>
      <c r="J12" s="19"/>
      <c r="K12" s="19"/>
      <c r="L12" s="39"/>
      <c r="M12" s="21"/>
      <c r="N12" s="335"/>
      <c r="P12" s="57"/>
    </row>
    <row r="13" spans="1:17" ht="27" customHeight="1" x14ac:dyDescent="0.25">
      <c r="A13" s="344"/>
      <c r="B13" s="354"/>
      <c r="C13" s="335"/>
      <c r="D13" s="59"/>
      <c r="E13" s="335"/>
      <c r="F13" s="336"/>
      <c r="G13" s="335"/>
      <c r="H13" s="17"/>
      <c r="I13" s="17"/>
      <c r="J13" s="19"/>
      <c r="K13" s="19"/>
      <c r="L13" s="39"/>
      <c r="M13" s="21"/>
      <c r="N13" s="335"/>
    </row>
    <row r="14" spans="1:17" ht="33" customHeight="1" x14ac:dyDescent="0.25">
      <c r="A14" s="343">
        <v>3</v>
      </c>
      <c r="B14" s="353" t="s">
        <v>62</v>
      </c>
      <c r="C14" s="333" t="s">
        <v>49</v>
      </c>
      <c r="D14" s="60" t="s">
        <v>50</v>
      </c>
      <c r="E14" s="333" t="s">
        <v>51</v>
      </c>
      <c r="F14" s="334" t="s">
        <v>52</v>
      </c>
      <c r="G14" s="333" t="s">
        <v>52</v>
      </c>
      <c r="H14" s="2" t="s">
        <v>54</v>
      </c>
      <c r="I14" s="2" t="s">
        <v>60</v>
      </c>
      <c r="J14" s="2" t="s">
        <v>57</v>
      </c>
      <c r="K14" s="2" t="s">
        <v>53</v>
      </c>
      <c r="L14" s="38"/>
      <c r="M14" s="20"/>
      <c r="N14" s="333" t="s">
        <v>63</v>
      </c>
      <c r="Q14" s="57"/>
    </row>
    <row r="15" spans="1:17" ht="26.25" customHeight="1" x14ac:dyDescent="0.25">
      <c r="A15" s="343"/>
      <c r="B15" s="353"/>
      <c r="C15" s="333"/>
      <c r="D15" s="60"/>
      <c r="E15" s="333"/>
      <c r="F15" s="334"/>
      <c r="G15" s="333"/>
      <c r="H15" s="5"/>
      <c r="I15" s="270" t="s">
        <v>55</v>
      </c>
      <c r="J15" s="5"/>
      <c r="K15" s="2"/>
      <c r="L15" s="38"/>
      <c r="M15" s="20"/>
      <c r="N15" s="333"/>
      <c r="P15" s="57"/>
    </row>
    <row r="16" spans="1:17" ht="28.35" customHeight="1" x14ac:dyDescent="0.25">
      <c r="A16" s="343"/>
      <c r="B16" s="353"/>
      <c r="C16" s="333"/>
      <c r="D16" s="60"/>
      <c r="E16" s="333"/>
      <c r="F16" s="334"/>
      <c r="G16" s="333"/>
      <c r="H16" s="163"/>
      <c r="I16" s="235"/>
      <c r="J16" s="2"/>
      <c r="K16" s="2"/>
      <c r="L16" s="38"/>
      <c r="M16" s="20"/>
      <c r="N16" s="333"/>
      <c r="P16" s="57"/>
    </row>
    <row r="17" spans="1:16" ht="26.1" customHeight="1" x14ac:dyDescent="0.25">
      <c r="A17" s="343"/>
      <c r="B17" s="353"/>
      <c r="C17" s="333"/>
      <c r="D17" s="60"/>
      <c r="E17" s="333"/>
      <c r="F17" s="334"/>
      <c r="G17" s="333"/>
      <c r="H17" s="4"/>
      <c r="I17" s="228"/>
      <c r="J17" s="2"/>
      <c r="K17" s="2"/>
      <c r="L17" s="38"/>
      <c r="M17" s="20"/>
      <c r="N17" s="333"/>
      <c r="P17" s="57"/>
    </row>
    <row r="18" spans="1:16" ht="27" customHeight="1" x14ac:dyDescent="0.25">
      <c r="A18" s="343"/>
      <c r="B18" s="353"/>
      <c r="C18" s="333"/>
      <c r="D18" s="60"/>
      <c r="E18" s="333"/>
      <c r="F18" s="334"/>
      <c r="G18" s="333"/>
      <c r="H18" s="4"/>
      <c r="I18" s="4"/>
      <c r="J18" s="2"/>
      <c r="K18" s="2"/>
      <c r="L18" s="38"/>
      <c r="M18" s="20"/>
      <c r="N18" s="333"/>
      <c r="P18" s="57"/>
    </row>
    <row r="19" spans="1:16" ht="27" customHeight="1" x14ac:dyDescent="0.25">
      <c r="A19" s="343"/>
      <c r="B19" s="353"/>
      <c r="C19" s="333"/>
      <c r="D19" s="60"/>
      <c r="E19" s="333"/>
      <c r="F19" s="334"/>
      <c r="G19" s="333"/>
      <c r="H19" s="4"/>
      <c r="I19" s="4"/>
      <c r="J19" s="2"/>
      <c r="K19" s="2"/>
      <c r="L19" s="38"/>
      <c r="M19" s="20"/>
      <c r="N19" s="333"/>
    </row>
    <row r="20" spans="1:16" ht="36.75" customHeight="1" x14ac:dyDescent="0.25">
      <c r="A20" s="344">
        <v>4</v>
      </c>
      <c r="B20" s="354" t="s">
        <v>64</v>
      </c>
      <c r="C20" s="335" t="s">
        <v>49</v>
      </c>
      <c r="D20" s="59" t="s">
        <v>50</v>
      </c>
      <c r="E20" s="335" t="s">
        <v>65</v>
      </c>
      <c r="F20" s="336" t="s">
        <v>66</v>
      </c>
      <c r="G20" s="335" t="s">
        <v>52</v>
      </c>
      <c r="H20" s="19" t="s">
        <v>39</v>
      </c>
      <c r="I20" s="19" t="s">
        <v>67</v>
      </c>
      <c r="J20" s="19" t="s">
        <v>60</v>
      </c>
      <c r="K20" s="19"/>
      <c r="L20" s="39"/>
      <c r="M20" s="21"/>
      <c r="N20" s="355" t="s">
        <v>68</v>
      </c>
    </row>
    <row r="21" spans="1:16" ht="26.25" customHeight="1" x14ac:dyDescent="0.25">
      <c r="A21" s="344"/>
      <c r="B21" s="354"/>
      <c r="C21" s="335"/>
      <c r="D21" s="59"/>
      <c r="E21" s="335"/>
      <c r="F21" s="336"/>
      <c r="G21" s="335"/>
      <c r="H21" s="161"/>
      <c r="I21" s="126" t="s">
        <v>55</v>
      </c>
      <c r="J21" s="16" t="s">
        <v>54</v>
      </c>
      <c r="K21" s="16"/>
      <c r="L21" s="39"/>
      <c r="M21" s="21"/>
      <c r="N21" s="355"/>
    </row>
    <row r="22" spans="1:16" ht="28.5" customHeight="1" x14ac:dyDescent="0.25">
      <c r="A22" s="344"/>
      <c r="B22" s="354"/>
      <c r="C22" s="335"/>
      <c r="D22" s="59"/>
      <c r="E22" s="335"/>
      <c r="F22" s="336"/>
      <c r="G22" s="335"/>
      <c r="H22" s="165"/>
      <c r="I22" s="167" t="s">
        <v>69</v>
      </c>
      <c r="J22" s="19" t="s">
        <v>70</v>
      </c>
      <c r="K22" s="19"/>
      <c r="L22" s="39"/>
      <c r="M22" s="21"/>
      <c r="N22" s="355"/>
    </row>
    <row r="23" spans="1:16" ht="34.5" customHeight="1" x14ac:dyDescent="0.25">
      <c r="A23" s="344"/>
      <c r="B23" s="354"/>
      <c r="C23" s="335"/>
      <c r="D23" s="59"/>
      <c r="E23" s="335"/>
      <c r="F23" s="336"/>
      <c r="G23" s="335"/>
      <c r="H23" s="17"/>
      <c r="I23" s="142"/>
      <c r="J23" s="19" t="s">
        <v>71</v>
      </c>
      <c r="K23" s="19"/>
      <c r="L23" s="39"/>
      <c r="M23" s="21"/>
      <c r="N23" s="355"/>
    </row>
    <row r="24" spans="1:16" ht="27" customHeight="1" x14ac:dyDescent="0.25">
      <c r="A24" s="344"/>
      <c r="B24" s="354"/>
      <c r="C24" s="335"/>
      <c r="D24" s="59"/>
      <c r="E24" s="335"/>
      <c r="F24" s="336"/>
      <c r="G24" s="335"/>
      <c r="H24" s="17"/>
      <c r="I24" s="17"/>
      <c r="J24" s="19" t="s">
        <v>72</v>
      </c>
      <c r="K24" s="19"/>
      <c r="L24" s="39"/>
      <c r="M24" s="21"/>
      <c r="N24" s="355"/>
    </row>
    <row r="25" spans="1:16" ht="27" customHeight="1" x14ac:dyDescent="0.25">
      <c r="A25" s="344"/>
      <c r="B25" s="354"/>
      <c r="C25" s="335"/>
      <c r="D25" s="59"/>
      <c r="E25" s="335"/>
      <c r="F25" s="336"/>
      <c r="G25" s="335"/>
      <c r="H25" s="31"/>
      <c r="I25" s="31"/>
      <c r="J25" s="229"/>
      <c r="K25" s="37"/>
      <c r="L25" s="70"/>
      <c r="M25" s="71"/>
      <c r="N25" s="355"/>
    </row>
    <row r="26" spans="1:16" ht="27" customHeight="1" thickBot="1" x14ac:dyDescent="0.3">
      <c r="A26" s="344"/>
      <c r="B26" s="354"/>
      <c r="C26" s="335"/>
      <c r="D26" s="59"/>
      <c r="E26" s="335"/>
      <c r="F26" s="336"/>
      <c r="G26" s="335"/>
      <c r="H26" s="31"/>
      <c r="I26" s="31"/>
      <c r="J26" s="257" t="s">
        <v>73</v>
      </c>
      <c r="K26" s="37"/>
      <c r="L26" s="70"/>
      <c r="M26" s="71"/>
      <c r="N26" s="355"/>
    </row>
    <row r="27" spans="1:16" ht="92.25" customHeight="1" thickBot="1" x14ac:dyDescent="0.3">
      <c r="A27" s="343">
        <v>5</v>
      </c>
      <c r="B27" s="353" t="s">
        <v>74</v>
      </c>
      <c r="C27" s="333" t="s">
        <v>75</v>
      </c>
      <c r="D27" s="60" t="s">
        <v>50</v>
      </c>
      <c r="E27" s="333" t="s">
        <v>65</v>
      </c>
      <c r="F27" s="334" t="s">
        <v>52</v>
      </c>
      <c r="G27" s="356" t="s">
        <v>52</v>
      </c>
      <c r="H27" s="55" t="s">
        <v>60</v>
      </c>
      <c r="I27" s="56" t="s">
        <v>54</v>
      </c>
      <c r="J27" s="56" t="s">
        <v>76</v>
      </c>
      <c r="K27" s="56"/>
      <c r="L27" s="72" t="s">
        <v>77</v>
      </c>
      <c r="M27" s="73"/>
      <c r="N27" s="366" t="s">
        <v>78</v>
      </c>
    </row>
    <row r="28" spans="1:16" ht="50.25" customHeight="1" thickBot="1" x14ac:dyDescent="0.3">
      <c r="A28" s="343"/>
      <c r="B28" s="353"/>
      <c r="C28" s="333"/>
      <c r="D28" s="60"/>
      <c r="E28" s="333"/>
      <c r="F28" s="334"/>
      <c r="G28" s="356"/>
      <c r="H28" s="202" t="s">
        <v>54</v>
      </c>
      <c r="I28" s="203"/>
      <c r="J28" s="204"/>
      <c r="K28" s="205" t="s">
        <v>60</v>
      </c>
      <c r="L28" s="206" t="s">
        <v>79</v>
      </c>
      <c r="M28" s="207"/>
      <c r="N28" s="366"/>
    </row>
    <row r="29" spans="1:16" ht="50.25" customHeight="1" x14ac:dyDescent="0.25">
      <c r="A29" s="343"/>
      <c r="B29" s="353"/>
      <c r="C29" s="333"/>
      <c r="D29" s="60"/>
      <c r="E29" s="333"/>
      <c r="F29" s="334"/>
      <c r="G29" s="356"/>
      <c r="H29" s="210"/>
      <c r="I29" s="230" t="s">
        <v>55</v>
      </c>
      <c r="J29" s="236" t="s">
        <v>55</v>
      </c>
      <c r="K29" s="197"/>
      <c r="L29" s="211"/>
      <c r="M29" s="212"/>
      <c r="N29" s="366"/>
    </row>
    <row r="30" spans="1:16" ht="35.25" customHeight="1" thickBot="1" x14ac:dyDescent="0.3">
      <c r="A30" s="343"/>
      <c r="B30" s="353"/>
      <c r="C30" s="333"/>
      <c r="D30" s="60"/>
      <c r="E30" s="333"/>
      <c r="F30" s="334"/>
      <c r="G30" s="356"/>
      <c r="H30" s="54" t="s">
        <v>57</v>
      </c>
      <c r="I30" s="13"/>
      <c r="J30" s="14"/>
      <c r="K30" s="14"/>
      <c r="L30" s="208" t="s">
        <v>80</v>
      </c>
      <c r="M30" s="209"/>
      <c r="N30" s="366"/>
    </row>
    <row r="31" spans="1:16" ht="3.75" hidden="1" customHeight="1" x14ac:dyDescent="0.25">
      <c r="A31" s="320">
        <v>6</v>
      </c>
      <c r="B31" s="143" t="s">
        <v>81</v>
      </c>
      <c r="C31" s="335" t="s">
        <v>49</v>
      </c>
      <c r="D31" s="59" t="s">
        <v>50</v>
      </c>
      <c r="E31" s="335" t="s">
        <v>65</v>
      </c>
      <c r="F31" s="336"/>
      <c r="G31" s="335"/>
      <c r="H31" s="43" t="s">
        <v>60</v>
      </c>
      <c r="I31" s="43" t="s">
        <v>53</v>
      </c>
      <c r="J31" s="43" t="s">
        <v>70</v>
      </c>
      <c r="K31" s="43"/>
      <c r="L31" s="68"/>
      <c r="M31" s="69"/>
      <c r="N31" s="382"/>
    </row>
    <row r="32" spans="1:16" ht="23.25" hidden="1" customHeight="1" x14ac:dyDescent="0.25">
      <c r="A32" s="321"/>
      <c r="B32" s="144"/>
      <c r="C32" s="335"/>
      <c r="D32" s="59"/>
      <c r="E32" s="335"/>
      <c r="F32" s="336"/>
      <c r="G32" s="335"/>
      <c r="H32" s="126"/>
      <c r="I32" s="126" t="s">
        <v>54</v>
      </c>
      <c r="J32" s="16" t="s">
        <v>76</v>
      </c>
      <c r="K32" s="16"/>
      <c r="L32" s="59"/>
      <c r="M32" s="58"/>
      <c r="N32" s="383"/>
    </row>
    <row r="33" spans="1:14" ht="28.5" hidden="1" customHeight="1" x14ac:dyDescent="0.25">
      <c r="A33" s="321"/>
      <c r="B33" s="144"/>
      <c r="C33" s="335"/>
      <c r="D33" s="59"/>
      <c r="E33" s="335"/>
      <c r="F33" s="336"/>
      <c r="G33" s="335"/>
      <c r="H33" s="17"/>
      <c r="I33" s="17"/>
      <c r="J33" s="19"/>
      <c r="K33" s="19"/>
      <c r="L33" s="59"/>
      <c r="M33" s="58"/>
      <c r="N33" s="383"/>
    </row>
    <row r="34" spans="1:14" ht="26.25" hidden="1" customHeight="1" x14ac:dyDescent="0.25">
      <c r="A34" s="321"/>
      <c r="B34" s="144"/>
      <c r="C34" s="335"/>
      <c r="D34" s="59"/>
      <c r="E34" s="335"/>
      <c r="F34" s="336"/>
      <c r="G34" s="335"/>
      <c r="H34" s="17"/>
      <c r="I34" s="17"/>
      <c r="J34" s="19"/>
      <c r="K34" s="19"/>
      <c r="L34" s="59"/>
      <c r="M34" s="58"/>
      <c r="N34" s="383"/>
    </row>
    <row r="35" spans="1:14" ht="42" customHeight="1" x14ac:dyDescent="0.25">
      <c r="A35" s="321"/>
      <c r="B35" s="387" t="s">
        <v>81</v>
      </c>
      <c r="C35" s="335"/>
      <c r="D35" s="59" t="s">
        <v>50</v>
      </c>
      <c r="E35" s="335"/>
      <c r="F35" s="336"/>
      <c r="G35" s="335"/>
      <c r="H35" s="17" t="s">
        <v>60</v>
      </c>
      <c r="I35" s="17" t="s">
        <v>53</v>
      </c>
      <c r="J35" s="19" t="s">
        <v>70</v>
      </c>
      <c r="K35" s="19"/>
      <c r="L35" s="59"/>
      <c r="M35" s="58"/>
      <c r="N35" s="383"/>
    </row>
    <row r="36" spans="1:14" ht="37.5" customHeight="1" x14ac:dyDescent="0.25">
      <c r="A36" s="321"/>
      <c r="B36" s="387"/>
      <c r="C36" s="335"/>
      <c r="D36" s="59"/>
      <c r="E36" s="335"/>
      <c r="F36" s="336"/>
      <c r="G36" s="360"/>
      <c r="H36" s="166"/>
      <c r="I36" s="167" t="s">
        <v>54</v>
      </c>
      <c r="J36" s="19" t="s">
        <v>76</v>
      </c>
      <c r="K36" s="19"/>
      <c r="L36" s="59"/>
      <c r="M36" s="58"/>
      <c r="N36" s="383"/>
    </row>
    <row r="37" spans="1:14" ht="27" customHeight="1" x14ac:dyDescent="0.25">
      <c r="A37" s="321"/>
      <c r="B37" s="387"/>
      <c r="C37" s="137"/>
      <c r="D37" s="59"/>
      <c r="E37" s="137"/>
      <c r="F37" s="138"/>
      <c r="G37" s="139"/>
      <c r="H37" s="17"/>
      <c r="I37" s="142"/>
      <c r="J37" s="168" t="s">
        <v>69</v>
      </c>
      <c r="K37" s="19"/>
      <c r="L37" s="59"/>
      <c r="M37" s="58"/>
      <c r="N37" s="383"/>
    </row>
    <row r="38" spans="1:14" ht="27" customHeight="1" x14ac:dyDescent="0.25">
      <c r="A38" s="321"/>
      <c r="B38" s="387"/>
      <c r="C38" s="137"/>
      <c r="D38" s="59"/>
      <c r="E38" s="137"/>
      <c r="F38" s="138"/>
      <c r="G38" s="139"/>
      <c r="H38" s="17"/>
      <c r="I38" s="17"/>
      <c r="J38" s="237" t="s">
        <v>55</v>
      </c>
      <c r="K38" s="19"/>
      <c r="L38" s="59"/>
      <c r="M38" s="58"/>
      <c r="N38" s="383"/>
    </row>
    <row r="39" spans="1:14" ht="27" customHeight="1" x14ac:dyDescent="0.25">
      <c r="A39" s="322"/>
      <c r="B39" s="388"/>
      <c r="C39" s="137"/>
      <c r="D39" s="59"/>
      <c r="E39" s="137"/>
      <c r="F39" s="138"/>
      <c r="G39" s="139"/>
      <c r="H39" s="17"/>
      <c r="I39" s="17"/>
      <c r="J39" s="19"/>
      <c r="K39" s="19"/>
      <c r="L39" s="59"/>
      <c r="M39" s="58"/>
      <c r="N39" s="384"/>
    </row>
    <row r="40" spans="1:14" ht="52.5" customHeight="1" x14ac:dyDescent="0.25">
      <c r="A40" s="343">
        <v>7</v>
      </c>
      <c r="B40" s="353" t="s">
        <v>82</v>
      </c>
      <c r="C40" s="333" t="s">
        <v>75</v>
      </c>
      <c r="D40" s="60" t="s">
        <v>50</v>
      </c>
      <c r="E40" s="333" t="s">
        <v>65</v>
      </c>
      <c r="F40" s="334"/>
      <c r="G40" s="356"/>
      <c r="H40" s="140" t="s">
        <v>54</v>
      </c>
      <c r="I40" s="128"/>
      <c r="J40" s="128"/>
      <c r="K40" s="128"/>
      <c r="L40" s="129" t="s">
        <v>79</v>
      </c>
      <c r="M40" s="141"/>
      <c r="N40" s="358" t="s">
        <v>83</v>
      </c>
    </row>
    <row r="41" spans="1:14" ht="47.25" customHeight="1" thickBot="1" x14ac:dyDescent="0.3">
      <c r="A41" s="343"/>
      <c r="B41" s="353"/>
      <c r="C41" s="333"/>
      <c r="D41" s="60"/>
      <c r="E41" s="333"/>
      <c r="F41" s="334"/>
      <c r="G41" s="356"/>
      <c r="H41" s="213"/>
      <c r="I41" s="51"/>
      <c r="J41" s="241" t="s">
        <v>55</v>
      </c>
      <c r="K41" s="51"/>
      <c r="L41" s="170" t="s">
        <v>84</v>
      </c>
      <c r="M41" s="42"/>
      <c r="N41" s="358"/>
    </row>
    <row r="42" spans="1:14" ht="85.5" customHeight="1" x14ac:dyDescent="0.25">
      <c r="A42" s="343"/>
      <c r="B42" s="353"/>
      <c r="C42" s="333"/>
      <c r="D42" s="60"/>
      <c r="E42" s="333"/>
      <c r="F42" s="334"/>
      <c r="G42" s="356"/>
      <c r="H42" s="46" t="s">
        <v>60</v>
      </c>
      <c r="I42" s="47"/>
      <c r="J42" s="246"/>
      <c r="K42" s="15"/>
      <c r="L42" s="74" t="s">
        <v>77</v>
      </c>
      <c r="M42" s="44"/>
      <c r="N42" s="358"/>
    </row>
    <row r="43" spans="1:14" ht="44.25" customHeight="1" thickBot="1" x14ac:dyDescent="0.3">
      <c r="A43" s="343"/>
      <c r="B43" s="353"/>
      <c r="C43" s="333"/>
      <c r="D43" s="60"/>
      <c r="E43" s="333"/>
      <c r="F43" s="334"/>
      <c r="G43" s="356"/>
      <c r="H43" s="214"/>
      <c r="I43" s="18"/>
      <c r="J43" s="247" t="s">
        <v>55</v>
      </c>
      <c r="K43" s="36"/>
      <c r="L43" s="171" t="s">
        <v>84</v>
      </c>
      <c r="M43" s="45"/>
      <c r="N43" s="358"/>
    </row>
    <row r="44" spans="1:14" ht="44.25" customHeight="1" x14ac:dyDescent="0.25">
      <c r="A44" s="343"/>
      <c r="B44" s="353"/>
      <c r="C44" s="333"/>
      <c r="D44" s="60"/>
      <c r="E44" s="333"/>
      <c r="F44" s="334"/>
      <c r="G44" s="356"/>
      <c r="H44" s="52" t="s">
        <v>57</v>
      </c>
      <c r="I44" s="53"/>
      <c r="J44" s="240"/>
      <c r="K44" s="12"/>
      <c r="L44" s="66" t="s">
        <v>80</v>
      </c>
      <c r="M44" s="41"/>
      <c r="N44" s="358"/>
    </row>
    <row r="45" spans="1:14" ht="48" customHeight="1" thickBot="1" x14ac:dyDescent="0.3">
      <c r="A45" s="343"/>
      <c r="B45" s="353"/>
      <c r="C45" s="333"/>
      <c r="D45" s="60"/>
      <c r="E45" s="333"/>
      <c r="F45" s="334"/>
      <c r="G45" s="356"/>
      <c r="H45" s="215"/>
      <c r="I45" s="13"/>
      <c r="J45" s="248" t="s">
        <v>55</v>
      </c>
      <c r="K45" s="14"/>
      <c r="L45" s="170" t="s">
        <v>84</v>
      </c>
      <c r="M45" s="42"/>
      <c r="N45" s="358"/>
    </row>
    <row r="46" spans="1:14" ht="27" customHeight="1" x14ac:dyDescent="0.25">
      <c r="A46" s="344">
        <v>8</v>
      </c>
      <c r="B46" s="354" t="s">
        <v>85</v>
      </c>
      <c r="C46" s="335" t="s">
        <v>75</v>
      </c>
      <c r="D46" s="59" t="s">
        <v>50</v>
      </c>
      <c r="E46" s="362" t="s">
        <v>86</v>
      </c>
      <c r="F46" s="336"/>
      <c r="G46" s="335" t="s">
        <v>52</v>
      </c>
      <c r="H46" s="43" t="s">
        <v>60</v>
      </c>
      <c r="I46" s="43" t="s">
        <v>54</v>
      </c>
      <c r="J46" s="43" t="s">
        <v>76</v>
      </c>
      <c r="K46" s="233" t="s">
        <v>73</v>
      </c>
      <c r="L46" s="68"/>
      <c r="M46" s="69"/>
      <c r="N46" s="362" t="s">
        <v>87</v>
      </c>
    </row>
    <row r="47" spans="1:14" ht="32.25" customHeight="1" x14ac:dyDescent="0.25">
      <c r="A47" s="344"/>
      <c r="B47" s="354"/>
      <c r="C47" s="335"/>
      <c r="D47" s="59"/>
      <c r="E47" s="362"/>
      <c r="F47" s="336"/>
      <c r="G47" s="335"/>
      <c r="H47" s="16"/>
      <c r="I47" s="16" t="s">
        <v>88</v>
      </c>
      <c r="J47" s="16"/>
      <c r="K47" s="16"/>
      <c r="L47" s="59"/>
      <c r="M47" s="58"/>
      <c r="N47" s="362"/>
    </row>
    <row r="48" spans="1:14" ht="27" customHeight="1" x14ac:dyDescent="0.25">
      <c r="A48" s="344"/>
      <c r="B48" s="354"/>
      <c r="C48" s="335"/>
      <c r="D48" s="59"/>
      <c r="E48" s="362"/>
      <c r="F48" s="336"/>
      <c r="G48" s="335"/>
      <c r="H48" s="17"/>
      <c r="I48" s="17" t="s">
        <v>69</v>
      </c>
      <c r="J48" s="19"/>
      <c r="K48" s="19"/>
      <c r="L48" s="59"/>
      <c r="M48" s="58"/>
      <c r="N48" s="362"/>
    </row>
    <row r="49" spans="1:14" ht="27" customHeight="1" x14ac:dyDescent="0.25">
      <c r="A49" s="344"/>
      <c r="B49" s="354"/>
      <c r="C49" s="335"/>
      <c r="D49" s="59"/>
      <c r="E49" s="362"/>
      <c r="F49" s="336"/>
      <c r="G49" s="335"/>
      <c r="H49" s="17"/>
      <c r="I49" s="168" t="s">
        <v>71</v>
      </c>
      <c r="J49" s="19"/>
      <c r="K49" s="19"/>
      <c r="L49" s="59"/>
      <c r="M49" s="58"/>
      <c r="N49" s="362"/>
    </row>
    <row r="50" spans="1:14" ht="27" customHeight="1" x14ac:dyDescent="0.25">
      <c r="A50" s="344"/>
      <c r="B50" s="354"/>
      <c r="C50" s="335"/>
      <c r="D50" s="59"/>
      <c r="E50" s="362"/>
      <c r="F50" s="336"/>
      <c r="G50" s="335"/>
      <c r="H50" s="17"/>
      <c r="I50" s="237" t="s">
        <v>55</v>
      </c>
      <c r="J50" s="19"/>
      <c r="K50" s="19"/>
      <c r="L50" s="59"/>
      <c r="M50" s="58"/>
      <c r="N50" s="362"/>
    </row>
    <row r="51" spans="1:14" ht="27" customHeight="1" thickBot="1" x14ac:dyDescent="0.3">
      <c r="A51" s="344"/>
      <c r="B51" s="354"/>
      <c r="C51" s="335"/>
      <c r="D51" s="59"/>
      <c r="E51" s="362"/>
      <c r="F51" s="336"/>
      <c r="G51" s="335"/>
      <c r="H51" s="31"/>
      <c r="I51" s="172"/>
      <c r="J51" s="37"/>
      <c r="K51" s="37"/>
      <c r="L51" s="64"/>
      <c r="M51" s="65"/>
      <c r="N51" s="362"/>
    </row>
    <row r="52" spans="1:14" ht="44.65" customHeight="1" x14ac:dyDescent="0.25">
      <c r="A52" s="345">
        <v>9</v>
      </c>
      <c r="B52" s="386" t="s">
        <v>89</v>
      </c>
      <c r="C52" s="333" t="s">
        <v>75</v>
      </c>
      <c r="D52" s="60" t="s">
        <v>50</v>
      </c>
      <c r="E52" s="333" t="s">
        <v>65</v>
      </c>
      <c r="F52" s="380" t="s">
        <v>52</v>
      </c>
      <c r="G52" s="356" t="s">
        <v>52</v>
      </c>
      <c r="H52" s="49" t="s">
        <v>54</v>
      </c>
      <c r="I52" s="240" t="s">
        <v>55</v>
      </c>
      <c r="J52" s="12"/>
      <c r="K52" s="12"/>
      <c r="L52" s="66" t="s">
        <v>90</v>
      </c>
      <c r="M52" s="41"/>
      <c r="N52" s="358" t="s">
        <v>91</v>
      </c>
    </row>
    <row r="53" spans="1:14" ht="27" customHeight="1" thickBot="1" x14ac:dyDescent="0.3">
      <c r="A53" s="345"/>
      <c r="B53" s="386"/>
      <c r="C53" s="333"/>
      <c r="D53" s="60"/>
      <c r="E53" s="333"/>
      <c r="F53" s="334"/>
      <c r="G53" s="356"/>
      <c r="H53" s="213"/>
      <c r="I53" s="241"/>
      <c r="J53" s="51"/>
      <c r="K53" s="51"/>
      <c r="L53" s="67"/>
      <c r="M53" s="42"/>
      <c r="N53" s="358"/>
    </row>
    <row r="54" spans="1:14" ht="46.15" customHeight="1" x14ac:dyDescent="0.25">
      <c r="A54" s="345"/>
      <c r="B54" s="386"/>
      <c r="C54" s="333"/>
      <c r="D54" s="60"/>
      <c r="E54" s="333"/>
      <c r="F54" s="334"/>
      <c r="G54" s="356"/>
      <c r="H54" s="46" t="s">
        <v>57</v>
      </c>
      <c r="I54" s="242" t="s">
        <v>55</v>
      </c>
      <c r="J54" s="15"/>
      <c r="K54" s="15"/>
      <c r="L54" s="74" t="s">
        <v>90</v>
      </c>
      <c r="M54" s="44"/>
      <c r="N54" s="358"/>
    </row>
    <row r="55" spans="1:14" ht="27" customHeight="1" thickBot="1" x14ac:dyDescent="0.3">
      <c r="A55" s="345"/>
      <c r="B55" s="386"/>
      <c r="C55" s="333"/>
      <c r="D55" s="60"/>
      <c r="E55" s="333"/>
      <c r="F55" s="334"/>
      <c r="G55" s="356"/>
      <c r="H55" s="214"/>
      <c r="I55" s="243"/>
      <c r="J55" s="36"/>
      <c r="K55" s="36"/>
      <c r="L55" s="75"/>
      <c r="M55" s="45"/>
      <c r="N55" s="358"/>
    </row>
    <row r="56" spans="1:14" ht="46.9" customHeight="1" x14ac:dyDescent="0.25">
      <c r="A56" s="345"/>
      <c r="B56" s="386"/>
      <c r="C56" s="333"/>
      <c r="D56" s="60"/>
      <c r="E56" s="333"/>
      <c r="F56" s="334"/>
      <c r="G56" s="356"/>
      <c r="H56" s="52" t="s">
        <v>58</v>
      </c>
      <c r="I56" s="244" t="s">
        <v>55</v>
      </c>
      <c r="J56" s="12"/>
      <c r="K56" s="12"/>
      <c r="L56" s="66" t="s">
        <v>90</v>
      </c>
      <c r="M56" s="41"/>
      <c r="N56" s="358"/>
    </row>
    <row r="57" spans="1:14" ht="27" customHeight="1" thickBot="1" x14ac:dyDescent="0.3">
      <c r="A57" s="345"/>
      <c r="B57" s="386"/>
      <c r="C57" s="333"/>
      <c r="D57" s="60"/>
      <c r="E57" s="333"/>
      <c r="F57" s="334"/>
      <c r="G57" s="356"/>
      <c r="H57" s="215"/>
      <c r="I57" s="245"/>
      <c r="J57" s="14"/>
      <c r="K57" s="14"/>
      <c r="L57" s="67"/>
      <c r="M57" s="42"/>
      <c r="N57" s="358"/>
    </row>
    <row r="58" spans="1:14" ht="36.75" customHeight="1" x14ac:dyDescent="0.25">
      <c r="A58" s="364">
        <v>10</v>
      </c>
      <c r="B58" s="365" t="s">
        <v>92</v>
      </c>
      <c r="C58" s="335" t="s">
        <v>49</v>
      </c>
      <c r="D58" s="59" t="s">
        <v>50</v>
      </c>
      <c r="E58" s="335" t="s">
        <v>65</v>
      </c>
      <c r="F58" s="336" t="s">
        <v>66</v>
      </c>
      <c r="G58" s="335" t="s">
        <v>52</v>
      </c>
      <c r="H58" s="43" t="s">
        <v>39</v>
      </c>
      <c r="I58" s="43" t="s">
        <v>60</v>
      </c>
      <c r="J58" s="43" t="s">
        <v>54</v>
      </c>
      <c r="K58" s="43"/>
      <c r="L58" s="68"/>
      <c r="M58" s="69"/>
      <c r="N58" s="362" t="s">
        <v>93</v>
      </c>
    </row>
    <row r="59" spans="1:14" ht="26.25" customHeight="1" x14ac:dyDescent="0.25">
      <c r="A59" s="364"/>
      <c r="B59" s="365"/>
      <c r="C59" s="335"/>
      <c r="D59" s="59"/>
      <c r="E59" s="335"/>
      <c r="F59" s="336"/>
      <c r="G59" s="335"/>
      <c r="H59" s="16"/>
      <c r="I59" s="161"/>
      <c r="J59" s="164" t="s">
        <v>70</v>
      </c>
      <c r="K59" s="16"/>
      <c r="L59" s="59"/>
      <c r="M59" s="58"/>
      <c r="N59" s="362"/>
    </row>
    <row r="60" spans="1:14" ht="28.5" customHeight="1" x14ac:dyDescent="0.25">
      <c r="A60" s="364"/>
      <c r="B60" s="365"/>
      <c r="C60" s="335"/>
      <c r="D60" s="59"/>
      <c r="E60" s="335"/>
      <c r="F60" s="336"/>
      <c r="G60" s="335"/>
      <c r="H60" s="17"/>
      <c r="I60" s="167" t="s">
        <v>69</v>
      </c>
      <c r="J60" s="239" t="s">
        <v>55</v>
      </c>
      <c r="K60" s="19"/>
      <c r="L60" s="59"/>
      <c r="M60" s="58"/>
      <c r="N60" s="362"/>
    </row>
    <row r="61" spans="1:14" ht="26.25" customHeight="1" x14ac:dyDescent="0.25">
      <c r="A61" s="364"/>
      <c r="B61" s="365"/>
      <c r="C61" s="335"/>
      <c r="D61" s="59"/>
      <c r="E61" s="335"/>
      <c r="F61" s="336"/>
      <c r="G61" s="335"/>
      <c r="H61" s="17"/>
      <c r="I61" s="17"/>
      <c r="J61" s="19"/>
      <c r="K61" s="19"/>
      <c r="L61" s="59"/>
      <c r="M61" s="58"/>
      <c r="N61" s="362"/>
    </row>
    <row r="62" spans="1:14" ht="27" customHeight="1" x14ac:dyDescent="0.25">
      <c r="A62" s="364"/>
      <c r="B62" s="365"/>
      <c r="C62" s="335"/>
      <c r="D62" s="59"/>
      <c r="E62" s="335"/>
      <c r="F62" s="336"/>
      <c r="G62" s="335"/>
      <c r="H62" s="17"/>
      <c r="I62" s="17"/>
      <c r="J62" s="19"/>
      <c r="K62" s="19"/>
      <c r="L62" s="59"/>
      <c r="M62" s="58"/>
      <c r="N62" s="362"/>
    </row>
    <row r="63" spans="1:14" ht="27" customHeight="1" thickBot="1" x14ac:dyDescent="0.3">
      <c r="A63" s="364"/>
      <c r="B63" s="365"/>
      <c r="C63" s="335"/>
      <c r="D63" s="59"/>
      <c r="E63" s="335"/>
      <c r="F63" s="336"/>
      <c r="G63" s="335"/>
      <c r="H63" s="31"/>
      <c r="I63" s="31"/>
      <c r="J63" s="37"/>
      <c r="K63" s="37"/>
      <c r="L63" s="64"/>
      <c r="M63" s="65"/>
      <c r="N63" s="362"/>
    </row>
    <row r="64" spans="1:14" ht="36.75" customHeight="1" x14ac:dyDescent="0.25">
      <c r="A64" s="343">
        <v>11</v>
      </c>
      <c r="B64" s="353" t="s">
        <v>94</v>
      </c>
      <c r="C64" s="333" t="s">
        <v>49</v>
      </c>
      <c r="D64" s="60" t="s">
        <v>95</v>
      </c>
      <c r="E64" s="333" t="s">
        <v>65</v>
      </c>
      <c r="F64" s="334" t="s">
        <v>66</v>
      </c>
      <c r="G64" s="356" t="s">
        <v>52</v>
      </c>
      <c r="H64" s="49" t="s">
        <v>39</v>
      </c>
      <c r="I64" s="12" t="s">
        <v>67</v>
      </c>
      <c r="J64" s="236" t="s">
        <v>55</v>
      </c>
      <c r="K64" s="231"/>
      <c r="L64" s="66" t="s">
        <v>96</v>
      </c>
      <c r="M64" s="41"/>
      <c r="N64" s="357" t="s">
        <v>97</v>
      </c>
    </row>
    <row r="65" spans="1:14" ht="25.5" customHeight="1" x14ac:dyDescent="0.25">
      <c r="A65" s="343"/>
      <c r="B65" s="353"/>
      <c r="C65" s="333"/>
      <c r="D65" s="60"/>
      <c r="E65" s="333"/>
      <c r="F65" s="334"/>
      <c r="G65" s="356"/>
      <c r="H65" s="156"/>
      <c r="I65" s="216" t="s">
        <v>69</v>
      </c>
      <c r="J65" s="157"/>
      <c r="K65" s="157"/>
      <c r="L65" s="158"/>
      <c r="M65" s="159"/>
      <c r="N65" s="366"/>
    </row>
    <row r="66" spans="1:14" ht="26.25" customHeight="1" thickBot="1" x14ac:dyDescent="0.3">
      <c r="A66" s="343"/>
      <c r="B66" s="353"/>
      <c r="C66" s="333"/>
      <c r="D66" s="60" t="s">
        <v>50</v>
      </c>
      <c r="E66" s="333"/>
      <c r="F66" s="334"/>
      <c r="G66" s="356"/>
      <c r="H66" s="50"/>
      <c r="I66" s="51" t="s">
        <v>88</v>
      </c>
      <c r="J66" s="51"/>
      <c r="K66" s="51"/>
      <c r="L66" s="67"/>
      <c r="M66" s="42"/>
      <c r="N66" s="358"/>
    </row>
    <row r="67" spans="1:14" ht="28.5" customHeight="1" x14ac:dyDescent="0.25">
      <c r="A67" s="343"/>
      <c r="B67" s="353"/>
      <c r="C67" s="333"/>
      <c r="D67" s="60"/>
      <c r="E67" s="333"/>
      <c r="F67" s="334"/>
      <c r="G67" s="356"/>
      <c r="H67" s="52" t="s">
        <v>54</v>
      </c>
      <c r="I67" s="53"/>
      <c r="J67" s="12" t="s">
        <v>98</v>
      </c>
      <c r="K67" s="12"/>
      <c r="L67" s="66" t="s">
        <v>99</v>
      </c>
      <c r="M67" s="41"/>
      <c r="N67" s="358"/>
    </row>
    <row r="68" spans="1:14" ht="26.25" customHeight="1" thickBot="1" x14ac:dyDescent="0.3">
      <c r="A68" s="343"/>
      <c r="B68" s="353"/>
      <c r="C68" s="333"/>
      <c r="D68" s="60"/>
      <c r="E68" s="333"/>
      <c r="F68" s="334"/>
      <c r="G68" s="356"/>
      <c r="H68" s="54"/>
      <c r="I68" s="13"/>
      <c r="J68" s="14"/>
      <c r="K68" s="14"/>
      <c r="L68" s="67"/>
      <c r="M68" s="42"/>
      <c r="N68" s="358"/>
    </row>
    <row r="69" spans="1:14" ht="33.75" customHeight="1" x14ac:dyDescent="0.25">
      <c r="A69" s="343"/>
      <c r="B69" s="353"/>
      <c r="C69" s="333"/>
      <c r="D69" s="60"/>
      <c r="E69" s="333"/>
      <c r="F69" s="334"/>
      <c r="G69" s="333"/>
      <c r="H69" s="127"/>
      <c r="I69" s="127"/>
      <c r="J69" s="128"/>
      <c r="K69" s="128"/>
      <c r="L69" s="129"/>
      <c r="M69" s="122"/>
      <c r="N69" s="333"/>
    </row>
    <row r="70" spans="1:14" ht="27" customHeight="1" x14ac:dyDescent="0.25">
      <c r="A70" s="343"/>
      <c r="B70" s="353"/>
      <c r="C70" s="333"/>
      <c r="D70" s="60"/>
      <c r="E70" s="333"/>
      <c r="F70" s="334"/>
      <c r="G70" s="333"/>
      <c r="H70" s="4"/>
      <c r="I70" s="4"/>
      <c r="J70" s="2"/>
      <c r="K70" s="2"/>
      <c r="L70" s="60"/>
      <c r="M70" s="3"/>
      <c r="N70" s="333"/>
    </row>
    <row r="71" spans="1:14" ht="27" customHeight="1" x14ac:dyDescent="0.25">
      <c r="A71" s="320">
        <v>12</v>
      </c>
      <c r="B71" s="354" t="s">
        <v>100</v>
      </c>
      <c r="C71" s="335" t="s">
        <v>75</v>
      </c>
      <c r="D71" s="59" t="s">
        <v>50</v>
      </c>
      <c r="E71" s="335" t="s">
        <v>65</v>
      </c>
      <c r="F71" s="381" t="s">
        <v>52</v>
      </c>
      <c r="G71" s="335" t="s">
        <v>52</v>
      </c>
      <c r="H71" s="19" t="s">
        <v>54</v>
      </c>
      <c r="I71" s="19" t="s">
        <v>98</v>
      </c>
      <c r="J71" s="19"/>
      <c r="K71" s="165"/>
      <c r="L71" s="59"/>
      <c r="M71" s="58"/>
      <c r="N71" s="355" t="s">
        <v>101</v>
      </c>
    </row>
    <row r="72" spans="1:14" ht="27" customHeight="1" x14ac:dyDescent="0.25">
      <c r="A72" s="321"/>
      <c r="B72" s="354"/>
      <c r="C72" s="335"/>
      <c r="D72" s="59"/>
      <c r="E72" s="335"/>
      <c r="F72" s="336"/>
      <c r="G72" s="335"/>
      <c r="H72" s="16"/>
      <c r="I72" s="16"/>
      <c r="J72" s="16"/>
      <c r="K72" s="16"/>
      <c r="L72" s="59"/>
      <c r="M72" s="58"/>
      <c r="N72" s="355"/>
    </row>
    <row r="73" spans="1:14" ht="27" customHeight="1" x14ac:dyDescent="0.25">
      <c r="A73" s="321"/>
      <c r="B73" s="354"/>
      <c r="C73" s="335"/>
      <c r="D73" s="59"/>
      <c r="E73" s="335"/>
      <c r="F73" s="336"/>
      <c r="G73" s="335"/>
      <c r="H73" s="17"/>
      <c r="I73" s="17"/>
      <c r="J73" s="19"/>
      <c r="K73" s="19"/>
      <c r="L73" s="59"/>
      <c r="M73" s="58"/>
      <c r="N73" s="355"/>
    </row>
    <row r="74" spans="1:14" ht="27" customHeight="1" x14ac:dyDescent="0.25">
      <c r="A74" s="321"/>
      <c r="B74" s="354"/>
      <c r="C74" s="335"/>
      <c r="D74" s="59"/>
      <c r="E74" s="335"/>
      <c r="F74" s="336"/>
      <c r="G74" s="335"/>
      <c r="H74" s="17"/>
      <c r="I74" s="17"/>
      <c r="J74" s="19"/>
      <c r="K74" s="19"/>
      <c r="L74" s="59"/>
      <c r="M74" s="58"/>
      <c r="N74" s="355"/>
    </row>
    <row r="75" spans="1:14" ht="27" customHeight="1" x14ac:dyDescent="0.25">
      <c r="A75" s="321"/>
      <c r="B75" s="354"/>
      <c r="C75" s="335"/>
      <c r="D75" s="59"/>
      <c r="E75" s="335"/>
      <c r="F75" s="336"/>
      <c r="G75" s="335"/>
      <c r="H75" s="17"/>
      <c r="I75" s="17"/>
      <c r="J75" s="19"/>
      <c r="K75" s="19"/>
      <c r="L75" s="59"/>
      <c r="M75" s="58"/>
      <c r="N75" s="355"/>
    </row>
    <row r="76" spans="1:14" ht="27" customHeight="1" thickBot="1" x14ac:dyDescent="0.3">
      <c r="A76" s="322"/>
      <c r="B76" s="354"/>
      <c r="C76" s="335"/>
      <c r="D76" s="59"/>
      <c r="E76" s="335"/>
      <c r="F76" s="336"/>
      <c r="G76" s="335"/>
      <c r="H76" s="31"/>
      <c r="I76" s="31"/>
      <c r="J76" s="37"/>
      <c r="K76" s="37"/>
      <c r="L76" s="64"/>
      <c r="M76" s="65"/>
      <c r="N76" s="355"/>
    </row>
    <row r="77" spans="1:14" ht="27" customHeight="1" thickBot="1" x14ac:dyDescent="0.3">
      <c r="A77" s="343">
        <v>13</v>
      </c>
      <c r="B77" s="353" t="s">
        <v>102</v>
      </c>
      <c r="C77" s="333" t="s">
        <v>75</v>
      </c>
      <c r="D77" s="60" t="s">
        <v>50</v>
      </c>
      <c r="E77" s="333" t="s">
        <v>65</v>
      </c>
      <c r="F77" s="334" t="s">
        <v>66</v>
      </c>
      <c r="G77" s="356" t="s">
        <v>52</v>
      </c>
      <c r="H77" s="55" t="s">
        <v>60</v>
      </c>
      <c r="I77" s="238" t="s">
        <v>55</v>
      </c>
      <c r="J77" s="56" t="s">
        <v>98</v>
      </c>
      <c r="K77" s="56"/>
      <c r="L77" s="130" t="s">
        <v>103</v>
      </c>
      <c r="M77" s="131"/>
      <c r="N77" s="357" t="s">
        <v>104</v>
      </c>
    </row>
    <row r="78" spans="1:14" ht="27" customHeight="1" thickBot="1" x14ac:dyDescent="0.3">
      <c r="A78" s="343"/>
      <c r="B78" s="353"/>
      <c r="C78" s="333"/>
      <c r="D78" s="60" t="s">
        <v>95</v>
      </c>
      <c r="E78" s="333"/>
      <c r="F78" s="334"/>
      <c r="G78" s="356"/>
      <c r="H78" s="132" t="s">
        <v>54</v>
      </c>
      <c r="I78" s="133"/>
      <c r="J78" s="133"/>
      <c r="K78" s="133"/>
      <c r="L78" s="130" t="s">
        <v>103</v>
      </c>
      <c r="M78" s="131"/>
      <c r="N78" s="358"/>
    </row>
    <row r="79" spans="1:14" ht="27" customHeight="1" thickBot="1" x14ac:dyDescent="0.3">
      <c r="A79" s="343"/>
      <c r="B79" s="353"/>
      <c r="C79" s="333"/>
      <c r="D79" s="60"/>
      <c r="E79" s="333"/>
      <c r="F79" s="334"/>
      <c r="G79" s="356"/>
      <c r="H79" s="124" t="s">
        <v>39</v>
      </c>
      <c r="I79" s="125"/>
      <c r="J79" s="56"/>
      <c r="K79" s="56"/>
      <c r="L79" s="130" t="s">
        <v>103</v>
      </c>
      <c r="M79" s="131"/>
      <c r="N79" s="358"/>
    </row>
    <row r="80" spans="1:14" ht="27" customHeight="1" x14ac:dyDescent="0.25">
      <c r="A80" s="343"/>
      <c r="B80" s="353"/>
      <c r="C80" s="333"/>
      <c r="D80" s="60"/>
      <c r="E80" s="333"/>
      <c r="F80" s="334"/>
      <c r="G80" s="333"/>
      <c r="H80" s="173"/>
      <c r="I80" s="127"/>
      <c r="J80" s="128"/>
      <c r="K80" s="128"/>
      <c r="L80" s="129"/>
      <c r="M80" s="122"/>
      <c r="N80" s="333"/>
    </row>
    <row r="81" spans="1:14" ht="27" customHeight="1" x14ac:dyDescent="0.25">
      <c r="A81" s="343"/>
      <c r="B81" s="353"/>
      <c r="C81" s="333"/>
      <c r="D81" s="60"/>
      <c r="E81" s="333"/>
      <c r="F81" s="334"/>
      <c r="G81" s="333"/>
      <c r="H81" s="4"/>
      <c r="I81" s="4"/>
      <c r="J81" s="2"/>
      <c r="K81" s="2"/>
      <c r="L81" s="60"/>
      <c r="M81" s="3"/>
      <c r="N81" s="333"/>
    </row>
    <row r="82" spans="1:14" ht="27" customHeight="1" x14ac:dyDescent="0.25">
      <c r="A82" s="343"/>
      <c r="B82" s="353"/>
      <c r="C82" s="333"/>
      <c r="D82" s="60"/>
      <c r="E82" s="333"/>
      <c r="F82" s="334"/>
      <c r="G82" s="333"/>
      <c r="H82" s="4"/>
      <c r="I82" s="4"/>
      <c r="J82" s="2"/>
      <c r="K82" s="2"/>
      <c r="L82" s="60"/>
      <c r="M82" s="3"/>
      <c r="N82" s="333"/>
    </row>
    <row r="83" spans="1:14" ht="27" customHeight="1" x14ac:dyDescent="0.25">
      <c r="A83" s="344">
        <v>14</v>
      </c>
      <c r="B83" s="354" t="s">
        <v>105</v>
      </c>
      <c r="C83" s="335" t="s">
        <v>75</v>
      </c>
      <c r="D83" s="59" t="s">
        <v>50</v>
      </c>
      <c r="E83" s="335" t="s">
        <v>51</v>
      </c>
      <c r="F83" s="336"/>
      <c r="G83" s="335"/>
      <c r="H83" s="19" t="s">
        <v>60</v>
      </c>
      <c r="I83" s="19" t="s">
        <v>54</v>
      </c>
      <c r="J83" s="237" t="s">
        <v>55</v>
      </c>
      <c r="K83" s="19"/>
      <c r="L83" s="59" t="s">
        <v>106</v>
      </c>
      <c r="M83" s="58"/>
      <c r="N83" s="335"/>
    </row>
    <row r="84" spans="1:14" ht="27" customHeight="1" x14ac:dyDescent="0.25">
      <c r="A84" s="344"/>
      <c r="B84" s="354"/>
      <c r="C84" s="335"/>
      <c r="D84" s="59"/>
      <c r="E84" s="335"/>
      <c r="F84" s="336"/>
      <c r="G84" s="335"/>
      <c r="H84" s="16"/>
      <c r="I84" s="161"/>
      <c r="J84" s="16"/>
      <c r="K84" s="16"/>
      <c r="L84" s="59"/>
      <c r="M84" s="58"/>
      <c r="N84" s="335"/>
    </row>
    <row r="85" spans="1:14" ht="27" customHeight="1" x14ac:dyDescent="0.25">
      <c r="A85" s="344"/>
      <c r="B85" s="354"/>
      <c r="C85" s="335"/>
      <c r="D85" s="59"/>
      <c r="E85" s="335"/>
      <c r="F85" s="336"/>
      <c r="G85" s="335"/>
      <c r="H85" s="17"/>
      <c r="I85" s="17"/>
      <c r="J85" s="19"/>
      <c r="K85" s="19"/>
      <c r="L85" s="59"/>
      <c r="M85" s="58"/>
      <c r="N85" s="335"/>
    </row>
    <row r="86" spans="1:14" ht="27" customHeight="1" x14ac:dyDescent="0.25">
      <c r="A86" s="344"/>
      <c r="B86" s="354"/>
      <c r="C86" s="335"/>
      <c r="D86" s="59"/>
      <c r="E86" s="335"/>
      <c r="F86" s="336"/>
      <c r="G86" s="335"/>
      <c r="H86" s="17"/>
      <c r="I86" s="17"/>
      <c r="J86" s="19"/>
      <c r="K86" s="19"/>
      <c r="L86" s="59"/>
      <c r="M86" s="58"/>
      <c r="N86" s="335"/>
    </row>
    <row r="87" spans="1:14" ht="27" customHeight="1" x14ac:dyDescent="0.25">
      <c r="A87" s="344"/>
      <c r="B87" s="354"/>
      <c r="C87" s="335"/>
      <c r="D87" s="59"/>
      <c r="E87" s="335"/>
      <c r="F87" s="336"/>
      <c r="G87" s="335"/>
      <c r="H87" s="17"/>
      <c r="I87" s="17"/>
      <c r="J87" s="19"/>
      <c r="K87" s="19"/>
      <c r="L87" s="59"/>
      <c r="M87" s="58"/>
      <c r="N87" s="335"/>
    </row>
    <row r="88" spans="1:14" ht="27" customHeight="1" x14ac:dyDescent="0.25">
      <c r="A88" s="344"/>
      <c r="B88" s="354"/>
      <c r="C88" s="335"/>
      <c r="D88" s="59"/>
      <c r="E88" s="335"/>
      <c r="F88" s="336"/>
      <c r="G88" s="335"/>
      <c r="H88" s="17"/>
      <c r="I88" s="17"/>
      <c r="J88" s="19"/>
      <c r="K88" s="19"/>
      <c r="L88" s="59"/>
      <c r="M88" s="58"/>
      <c r="N88" s="335"/>
    </row>
    <row r="89" spans="1:14" ht="27" customHeight="1" x14ac:dyDescent="0.25">
      <c r="A89" s="150"/>
      <c r="B89" s="79"/>
      <c r="C89" s="77"/>
      <c r="E89" s="77"/>
      <c r="F89" s="78"/>
      <c r="G89" s="77"/>
      <c r="H89" s="80"/>
      <c r="I89" s="80"/>
      <c r="J89" s="81"/>
      <c r="K89" s="81"/>
      <c r="N89" s="77"/>
    </row>
    <row r="90" spans="1:14" ht="27" customHeight="1" x14ac:dyDescent="0.25">
      <c r="A90" s="320">
        <v>15</v>
      </c>
      <c r="B90" s="354" t="s">
        <v>107</v>
      </c>
      <c r="C90" s="335" t="s">
        <v>75</v>
      </c>
      <c r="D90" s="59" t="s">
        <v>50</v>
      </c>
      <c r="E90" s="335" t="s">
        <v>51</v>
      </c>
      <c r="F90" s="336"/>
      <c r="G90" s="335"/>
      <c r="H90" s="19" t="s">
        <v>54</v>
      </c>
      <c r="I90" s="19"/>
      <c r="J90" s="19" t="s">
        <v>60</v>
      </c>
      <c r="K90" s="19"/>
      <c r="L90" s="59"/>
      <c r="M90" s="58"/>
      <c r="N90" s="335" t="s">
        <v>108</v>
      </c>
    </row>
    <row r="91" spans="1:14" ht="27" customHeight="1" x14ac:dyDescent="0.25">
      <c r="A91" s="321"/>
      <c r="B91" s="354"/>
      <c r="C91" s="335"/>
      <c r="D91" s="59"/>
      <c r="E91" s="335"/>
      <c r="F91" s="336"/>
      <c r="G91" s="335"/>
      <c r="H91" s="161"/>
      <c r="I91" s="16"/>
      <c r="J91" s="126" t="s">
        <v>55</v>
      </c>
      <c r="K91" s="16"/>
      <c r="L91" s="59"/>
      <c r="M91" s="58"/>
      <c r="N91" s="335"/>
    </row>
    <row r="92" spans="1:14" ht="27" customHeight="1" x14ac:dyDescent="0.25">
      <c r="A92" s="321"/>
      <c r="B92" s="354"/>
      <c r="C92" s="335"/>
      <c r="D92" s="59"/>
      <c r="E92" s="335"/>
      <c r="F92" s="336"/>
      <c r="G92" s="335"/>
      <c r="H92" s="17"/>
      <c r="I92" s="17"/>
      <c r="J92" s="19"/>
      <c r="K92" s="19"/>
      <c r="L92" s="59"/>
      <c r="M92" s="58"/>
      <c r="N92" s="335"/>
    </row>
    <row r="93" spans="1:14" ht="27" customHeight="1" x14ac:dyDescent="0.25">
      <c r="A93" s="321"/>
      <c r="B93" s="354"/>
      <c r="C93" s="335"/>
      <c r="D93" s="59"/>
      <c r="E93" s="335"/>
      <c r="F93" s="336"/>
      <c r="G93" s="335"/>
      <c r="H93" s="17"/>
      <c r="I93" s="17"/>
      <c r="J93" s="19"/>
      <c r="K93" s="19"/>
      <c r="L93" s="59"/>
      <c r="M93" s="58"/>
      <c r="N93" s="335"/>
    </row>
    <row r="94" spans="1:14" ht="27" customHeight="1" x14ac:dyDescent="0.25">
      <c r="A94" s="321"/>
      <c r="B94" s="354"/>
      <c r="C94" s="335"/>
      <c r="D94" s="59"/>
      <c r="E94" s="335"/>
      <c r="F94" s="336"/>
      <c r="G94" s="335"/>
      <c r="H94" s="17"/>
      <c r="I94" s="17"/>
      <c r="J94" s="19"/>
      <c r="K94" s="19"/>
      <c r="L94" s="59"/>
      <c r="M94" s="58"/>
      <c r="N94" s="335"/>
    </row>
    <row r="95" spans="1:14" ht="27" customHeight="1" x14ac:dyDescent="0.25">
      <c r="A95" s="322"/>
      <c r="B95" s="354"/>
      <c r="C95" s="335"/>
      <c r="D95" s="59"/>
      <c r="E95" s="335"/>
      <c r="F95" s="336"/>
      <c r="G95" s="335"/>
      <c r="H95" s="17"/>
      <c r="I95" s="17"/>
      <c r="J95" s="19"/>
      <c r="K95" s="19"/>
      <c r="L95" s="59"/>
      <c r="M95" s="58"/>
      <c r="N95" s="335"/>
    </row>
    <row r="96" spans="1:14" ht="27" customHeight="1" x14ac:dyDescent="0.25">
      <c r="A96" s="343">
        <v>16</v>
      </c>
      <c r="B96" s="353" t="s">
        <v>109</v>
      </c>
      <c r="C96" s="333" t="s">
        <v>75</v>
      </c>
      <c r="D96" s="60" t="s">
        <v>50</v>
      </c>
      <c r="E96" s="333" t="s">
        <v>51</v>
      </c>
      <c r="F96" s="334"/>
      <c r="G96" s="333"/>
      <c r="H96" s="2" t="s">
        <v>54</v>
      </c>
      <c r="I96" s="2" t="s">
        <v>60</v>
      </c>
      <c r="J96" s="2"/>
      <c r="K96" s="2"/>
      <c r="L96" s="60"/>
      <c r="M96" s="3"/>
      <c r="N96" s="333" t="s">
        <v>110</v>
      </c>
    </row>
    <row r="97" spans="1:14" ht="27" customHeight="1" x14ac:dyDescent="0.25">
      <c r="A97" s="343"/>
      <c r="B97" s="353"/>
      <c r="C97" s="333"/>
      <c r="D97" s="60"/>
      <c r="E97" s="333"/>
      <c r="F97" s="334"/>
      <c r="G97" s="333"/>
      <c r="H97" s="175"/>
      <c r="I97" s="162" t="s">
        <v>67</v>
      </c>
      <c r="J97" s="5"/>
      <c r="K97" s="5"/>
      <c r="L97" s="60"/>
      <c r="M97" s="3"/>
      <c r="N97" s="333"/>
    </row>
    <row r="98" spans="1:14" ht="27" customHeight="1" x14ac:dyDescent="0.25">
      <c r="A98" s="343"/>
      <c r="B98" s="353"/>
      <c r="C98" s="333"/>
      <c r="D98" s="60"/>
      <c r="E98" s="333"/>
      <c r="F98" s="334"/>
      <c r="G98" s="333"/>
      <c r="H98" s="4"/>
      <c r="I98" s="235" t="s">
        <v>55</v>
      </c>
      <c r="J98" s="234" t="s">
        <v>55</v>
      </c>
      <c r="K98" s="234" t="s">
        <v>55</v>
      </c>
      <c r="L98" s="60"/>
      <c r="M98" s="3"/>
      <c r="N98" s="333"/>
    </row>
    <row r="99" spans="1:14" ht="27" customHeight="1" x14ac:dyDescent="0.25">
      <c r="A99" s="343"/>
      <c r="B99" s="353"/>
      <c r="C99" s="333"/>
      <c r="D99" s="60"/>
      <c r="E99" s="333"/>
      <c r="F99" s="334"/>
      <c r="G99" s="333"/>
      <c r="H99" s="4"/>
      <c r="I99" s="4"/>
      <c r="J99" s="2"/>
      <c r="K99" s="2"/>
      <c r="L99" s="60"/>
      <c r="M99" s="3"/>
      <c r="N99" s="333"/>
    </row>
    <row r="100" spans="1:14" ht="27" customHeight="1" x14ac:dyDescent="0.25">
      <c r="A100" s="343"/>
      <c r="B100" s="353"/>
      <c r="C100" s="333"/>
      <c r="D100" s="60"/>
      <c r="E100" s="333"/>
      <c r="F100" s="334"/>
      <c r="G100" s="333"/>
      <c r="H100" s="4"/>
      <c r="I100" s="4"/>
      <c r="J100" s="2"/>
      <c r="K100" s="2"/>
      <c r="L100" s="60"/>
      <c r="M100" s="3"/>
      <c r="N100" s="333"/>
    </row>
    <row r="101" spans="1:14" ht="63" customHeight="1" thickBot="1" x14ac:dyDescent="0.3">
      <c r="A101" s="343"/>
      <c r="B101" s="353"/>
      <c r="C101" s="333"/>
      <c r="D101" s="60"/>
      <c r="E101" s="333"/>
      <c r="F101" s="334"/>
      <c r="G101" s="333"/>
      <c r="H101" s="153"/>
      <c r="I101" s="153"/>
      <c r="J101" s="154"/>
      <c r="K101" s="154"/>
      <c r="L101" s="155"/>
      <c r="M101" s="82"/>
      <c r="N101" s="333"/>
    </row>
    <row r="102" spans="1:14" ht="36.75" customHeight="1" x14ac:dyDescent="0.25">
      <c r="A102" s="323">
        <v>17</v>
      </c>
      <c r="B102" s="352" t="s">
        <v>111</v>
      </c>
      <c r="C102" s="335" t="s">
        <v>75</v>
      </c>
      <c r="D102" s="59" t="s">
        <v>50</v>
      </c>
      <c r="E102" s="335" t="s">
        <v>86</v>
      </c>
      <c r="F102" s="336" t="s">
        <v>52</v>
      </c>
      <c r="G102" s="360" t="s">
        <v>52</v>
      </c>
      <c r="H102" s="176" t="s">
        <v>54</v>
      </c>
      <c r="I102" s="177"/>
      <c r="J102" s="177"/>
      <c r="K102" s="177"/>
      <c r="L102" s="178"/>
      <c r="M102" s="179"/>
      <c r="N102" s="361" t="s">
        <v>112</v>
      </c>
    </row>
    <row r="103" spans="1:14" ht="26.25" customHeight="1" thickBot="1" x14ac:dyDescent="0.3">
      <c r="A103" s="324"/>
      <c r="B103" s="352"/>
      <c r="C103" s="335"/>
      <c r="D103" s="59"/>
      <c r="E103" s="335"/>
      <c r="F103" s="336"/>
      <c r="G103" s="360"/>
      <c r="H103" s="180"/>
      <c r="I103" s="181"/>
      <c r="J103" s="181"/>
      <c r="K103" s="181"/>
      <c r="L103" s="171"/>
      <c r="M103" s="182"/>
      <c r="N103" s="361"/>
    </row>
    <row r="104" spans="1:14" ht="28.5" customHeight="1" x14ac:dyDescent="0.25">
      <c r="A104" s="324"/>
      <c r="B104" s="352"/>
      <c r="C104" s="335"/>
      <c r="D104" s="59"/>
      <c r="E104" s="335"/>
      <c r="F104" s="336"/>
      <c r="G104" s="360"/>
      <c r="H104" s="183" t="s">
        <v>60</v>
      </c>
      <c r="I104" s="184"/>
      <c r="J104" s="177"/>
      <c r="K104" s="177"/>
      <c r="L104" s="178"/>
      <c r="M104" s="179"/>
      <c r="N104" s="361"/>
    </row>
    <row r="105" spans="1:14" ht="26.25" customHeight="1" thickBot="1" x14ac:dyDescent="0.3">
      <c r="A105" s="324"/>
      <c r="B105" s="352"/>
      <c r="C105" s="335"/>
      <c r="D105" s="59"/>
      <c r="E105" s="335"/>
      <c r="F105" s="336"/>
      <c r="G105" s="360"/>
      <c r="H105" s="169"/>
      <c r="I105" s="185"/>
      <c r="J105" s="186"/>
      <c r="K105" s="186"/>
      <c r="L105" s="171"/>
      <c r="M105" s="182"/>
      <c r="N105" s="361"/>
    </row>
    <row r="106" spans="1:14" ht="27" customHeight="1" thickBot="1" x14ac:dyDescent="0.3">
      <c r="A106" s="324"/>
      <c r="B106" s="352"/>
      <c r="C106" s="335"/>
      <c r="D106" s="59"/>
      <c r="E106" s="335"/>
      <c r="F106" s="336"/>
      <c r="G106" s="360"/>
      <c r="H106" s="187" t="s">
        <v>57</v>
      </c>
      <c r="I106" s="188"/>
      <c r="J106" s="189"/>
      <c r="K106" s="189"/>
      <c r="L106" s="190"/>
      <c r="M106" s="191"/>
      <c r="N106" s="361"/>
    </row>
    <row r="107" spans="1:14" ht="27" customHeight="1" thickBot="1" x14ac:dyDescent="0.3">
      <c r="A107" s="325"/>
      <c r="B107" s="352"/>
      <c r="C107" s="335"/>
      <c r="D107" s="59"/>
      <c r="E107" s="335"/>
      <c r="F107" s="336"/>
      <c r="G107" s="360"/>
      <c r="H107" s="187" t="s">
        <v>53</v>
      </c>
      <c r="I107" s="188"/>
      <c r="J107" s="189"/>
      <c r="K107" s="189"/>
      <c r="L107" s="190"/>
      <c r="M107" s="191"/>
      <c r="N107" s="361"/>
    </row>
    <row r="108" spans="1:14" ht="36.75" customHeight="1" x14ac:dyDescent="0.25">
      <c r="A108" s="346">
        <v>18</v>
      </c>
      <c r="B108" s="398" t="s">
        <v>103</v>
      </c>
      <c r="C108" s="333" t="s">
        <v>49</v>
      </c>
      <c r="D108" s="60" t="s">
        <v>50</v>
      </c>
      <c r="E108" s="333" t="s">
        <v>86</v>
      </c>
      <c r="F108" s="334"/>
      <c r="G108" s="333"/>
      <c r="H108" s="128" t="s">
        <v>53</v>
      </c>
      <c r="I108" s="128" t="s">
        <v>88</v>
      </c>
      <c r="J108" s="192" t="s">
        <v>60</v>
      </c>
      <c r="K108" s="128" t="s">
        <v>60</v>
      </c>
      <c r="L108" s="129"/>
      <c r="M108" s="122"/>
      <c r="N108" s="333"/>
    </row>
    <row r="109" spans="1:14" ht="26.25" customHeight="1" x14ac:dyDescent="0.25">
      <c r="A109" s="347"/>
      <c r="B109" s="398"/>
      <c r="C109" s="333"/>
      <c r="D109" s="60"/>
      <c r="E109" s="333"/>
      <c r="F109" s="334"/>
      <c r="G109" s="333"/>
      <c r="H109" s="5" t="s">
        <v>71</v>
      </c>
      <c r="I109" s="175"/>
      <c r="J109" s="249" t="s">
        <v>73</v>
      </c>
      <c r="K109" s="5" t="s">
        <v>54</v>
      </c>
      <c r="L109" s="60"/>
      <c r="M109" s="3"/>
      <c r="N109" s="333"/>
    </row>
    <row r="110" spans="1:14" ht="28.5" customHeight="1" x14ac:dyDescent="0.25">
      <c r="A110" s="347"/>
      <c r="B110" s="398"/>
      <c r="C110" s="333"/>
      <c r="D110" s="60"/>
      <c r="E110" s="333"/>
      <c r="F110" s="334"/>
      <c r="G110" s="333"/>
      <c r="H110" s="4"/>
      <c r="I110" s="4"/>
      <c r="J110" s="2"/>
      <c r="K110" s="2"/>
      <c r="L110" s="60"/>
      <c r="M110" s="3"/>
      <c r="N110" s="333"/>
    </row>
    <row r="111" spans="1:14" ht="26.25" customHeight="1" x14ac:dyDescent="0.25">
      <c r="A111" s="347"/>
      <c r="B111" s="398"/>
      <c r="C111" s="333"/>
      <c r="D111" s="60"/>
      <c r="E111" s="333"/>
      <c r="F111" s="334"/>
      <c r="G111" s="333"/>
      <c r="H111" s="4"/>
      <c r="I111" s="4"/>
      <c r="J111" s="2"/>
      <c r="K111" s="2"/>
      <c r="L111" s="60"/>
      <c r="M111" s="3"/>
      <c r="N111" s="333"/>
    </row>
    <row r="112" spans="1:14" ht="27" customHeight="1" x14ac:dyDescent="0.25">
      <c r="A112" s="347"/>
      <c r="B112" s="398"/>
      <c r="C112" s="333"/>
      <c r="D112" s="60"/>
      <c r="E112" s="333"/>
      <c r="F112" s="334"/>
      <c r="G112" s="333"/>
      <c r="H112" s="4"/>
      <c r="I112" s="4"/>
      <c r="J112" s="2"/>
      <c r="K112" s="2"/>
      <c r="L112" s="60"/>
      <c r="M112" s="3"/>
      <c r="N112" s="333"/>
    </row>
    <row r="113" spans="1:14" ht="27" customHeight="1" x14ac:dyDescent="0.25">
      <c r="A113" s="348"/>
      <c r="B113" s="398"/>
      <c r="C113" s="333"/>
      <c r="D113" s="60"/>
      <c r="E113" s="333"/>
      <c r="F113" s="334"/>
      <c r="G113" s="333"/>
      <c r="H113" s="4"/>
      <c r="I113" s="4"/>
      <c r="J113" s="2"/>
      <c r="K113" s="2"/>
      <c r="L113" s="60"/>
      <c r="M113" s="3"/>
      <c r="N113" s="333"/>
    </row>
    <row r="114" spans="1:14" ht="36.75" customHeight="1" x14ac:dyDescent="0.25">
      <c r="A114" s="349">
        <v>19</v>
      </c>
      <c r="B114" s="363" t="s">
        <v>113</v>
      </c>
      <c r="C114" s="335" t="s">
        <v>49</v>
      </c>
      <c r="D114" s="59" t="s">
        <v>50</v>
      </c>
      <c r="E114" s="335" t="s">
        <v>86</v>
      </c>
      <c r="F114" s="336" t="s">
        <v>52</v>
      </c>
      <c r="G114" s="335" t="s">
        <v>52</v>
      </c>
      <c r="H114" s="19" t="s">
        <v>53</v>
      </c>
      <c r="I114" s="19" t="s">
        <v>71</v>
      </c>
      <c r="J114" s="250" t="s">
        <v>73</v>
      </c>
      <c r="K114" s="250" t="s">
        <v>55</v>
      </c>
      <c r="L114" s="59" t="s">
        <v>114</v>
      </c>
      <c r="M114" s="58"/>
      <c r="N114" s="335"/>
    </row>
    <row r="115" spans="1:14" ht="26.25" customHeight="1" x14ac:dyDescent="0.25">
      <c r="A115" s="350"/>
      <c r="B115" s="363"/>
      <c r="C115" s="335"/>
      <c r="D115" s="59"/>
      <c r="E115" s="335"/>
      <c r="F115" s="336"/>
      <c r="G115" s="335"/>
      <c r="H115" s="16"/>
      <c r="I115" s="16" t="s">
        <v>88</v>
      </c>
      <c r="J115" s="16"/>
      <c r="K115" s="16"/>
      <c r="L115" s="59" t="s">
        <v>115</v>
      </c>
      <c r="M115" s="58"/>
      <c r="N115" s="335"/>
    </row>
    <row r="116" spans="1:14" ht="28.5" customHeight="1" x14ac:dyDescent="0.25">
      <c r="A116" s="350"/>
      <c r="B116" s="363"/>
      <c r="C116" s="335"/>
      <c r="D116" s="59"/>
      <c r="E116" s="335"/>
      <c r="F116" s="336"/>
      <c r="G116" s="335"/>
      <c r="H116" s="17"/>
      <c r="I116" s="19" t="s">
        <v>60</v>
      </c>
      <c r="J116" s="19"/>
      <c r="K116" s="19"/>
      <c r="L116" s="59" t="s">
        <v>116</v>
      </c>
      <c r="M116" s="58"/>
      <c r="N116" s="335"/>
    </row>
    <row r="117" spans="1:14" ht="26.25" customHeight="1" x14ac:dyDescent="0.25">
      <c r="A117" s="350"/>
      <c r="B117" s="363"/>
      <c r="C117" s="335"/>
      <c r="D117" s="59"/>
      <c r="E117" s="335"/>
      <c r="F117" s="336"/>
      <c r="G117" s="335"/>
      <c r="H117" s="17"/>
      <c r="I117" s="17" t="s">
        <v>54</v>
      </c>
      <c r="J117" s="19"/>
      <c r="K117" s="19"/>
      <c r="L117" s="59"/>
      <c r="M117" s="58"/>
      <c r="N117" s="335"/>
    </row>
    <row r="118" spans="1:14" ht="27" customHeight="1" x14ac:dyDescent="0.25">
      <c r="A118" s="350"/>
      <c r="B118" s="363"/>
      <c r="C118" s="335"/>
      <c r="D118" s="59"/>
      <c r="E118" s="335"/>
      <c r="F118" s="336"/>
      <c r="G118" s="335"/>
      <c r="H118" s="17"/>
      <c r="I118" s="165"/>
      <c r="J118" s="19"/>
      <c r="K118" s="19"/>
      <c r="L118" s="59"/>
      <c r="M118" s="58"/>
      <c r="N118" s="335"/>
    </row>
    <row r="119" spans="1:14" ht="27" customHeight="1" x14ac:dyDescent="0.25">
      <c r="A119" s="351"/>
      <c r="B119" s="363"/>
      <c r="C119" s="335"/>
      <c r="D119" s="59"/>
      <c r="E119" s="335"/>
      <c r="F119" s="336"/>
      <c r="G119" s="335"/>
      <c r="H119" s="17"/>
      <c r="I119" s="166"/>
      <c r="J119" s="19"/>
      <c r="K119" s="19"/>
      <c r="L119" s="59"/>
      <c r="M119" s="58"/>
      <c r="N119" s="335"/>
    </row>
    <row r="120" spans="1:14" ht="27" customHeight="1" x14ac:dyDescent="0.25">
      <c r="A120" s="150"/>
      <c r="B120" s="79"/>
      <c r="C120" s="77"/>
      <c r="E120" s="77"/>
      <c r="F120" s="78"/>
      <c r="G120" s="77"/>
      <c r="H120" s="80"/>
      <c r="I120" s="80"/>
      <c r="J120" s="81"/>
      <c r="K120" s="81"/>
      <c r="N120" s="77"/>
    </row>
    <row r="121" spans="1:14" ht="64.5" customHeight="1" x14ac:dyDescent="0.25">
      <c r="A121" s="349">
        <v>20</v>
      </c>
      <c r="B121" s="363" t="s">
        <v>117</v>
      </c>
      <c r="C121" s="335" t="s">
        <v>75</v>
      </c>
      <c r="D121" s="59" t="s">
        <v>50</v>
      </c>
      <c r="E121" s="335" t="s">
        <v>86</v>
      </c>
      <c r="F121" s="336" t="s">
        <v>52</v>
      </c>
      <c r="G121" s="360" t="s">
        <v>52</v>
      </c>
      <c r="H121" s="76" t="s">
        <v>60</v>
      </c>
      <c r="I121" s="19" t="s">
        <v>88</v>
      </c>
      <c r="J121" s="250" t="s">
        <v>73</v>
      </c>
      <c r="K121" s="250" t="s">
        <v>118</v>
      </c>
      <c r="L121" s="59" t="s">
        <v>119</v>
      </c>
      <c r="M121" s="148"/>
      <c r="N121" s="361" t="s">
        <v>120</v>
      </c>
    </row>
    <row r="122" spans="1:14" ht="48.6" customHeight="1" thickBot="1" x14ac:dyDescent="0.3">
      <c r="A122" s="350"/>
      <c r="B122" s="363"/>
      <c r="C122" s="335"/>
      <c r="D122" s="59"/>
      <c r="E122" s="335"/>
      <c r="F122" s="336"/>
      <c r="G122" s="360"/>
      <c r="H122" s="135"/>
      <c r="I122" s="136" t="s">
        <v>71</v>
      </c>
      <c r="J122" s="251"/>
      <c r="K122" s="136" t="s">
        <v>53</v>
      </c>
      <c r="L122" s="75" t="s">
        <v>121</v>
      </c>
      <c r="M122" s="45"/>
      <c r="N122" s="361"/>
    </row>
    <row r="123" spans="1:14" ht="67.5" customHeight="1" x14ac:dyDescent="0.25">
      <c r="A123" s="350"/>
      <c r="B123" s="363"/>
      <c r="C123" s="335"/>
      <c r="D123" s="59"/>
      <c r="E123" s="335"/>
      <c r="F123" s="336"/>
      <c r="G123" s="360"/>
      <c r="H123" s="46" t="s">
        <v>54</v>
      </c>
      <c r="I123" s="193"/>
      <c r="J123" s="252" t="s">
        <v>73</v>
      </c>
      <c r="K123" s="252" t="s">
        <v>118</v>
      </c>
      <c r="L123" s="74" t="s">
        <v>122</v>
      </c>
      <c r="M123" s="44"/>
      <c r="N123" s="361"/>
    </row>
    <row r="124" spans="1:14" ht="65.25" customHeight="1" thickBot="1" x14ac:dyDescent="0.3">
      <c r="A124" s="350"/>
      <c r="B124" s="363"/>
      <c r="C124" s="335"/>
      <c r="D124" s="59"/>
      <c r="E124" s="335"/>
      <c r="F124" s="336"/>
      <c r="G124" s="360"/>
      <c r="H124" s="48"/>
      <c r="I124" s="194"/>
      <c r="J124" s="36"/>
      <c r="K124" s="36" t="s">
        <v>60</v>
      </c>
      <c r="L124" s="75" t="s">
        <v>123</v>
      </c>
      <c r="M124" s="45"/>
      <c r="N124" s="361"/>
    </row>
    <row r="125" spans="1:14" ht="27" customHeight="1" x14ac:dyDescent="0.25">
      <c r="A125" s="350"/>
      <c r="B125" s="363"/>
      <c r="C125" s="335"/>
      <c r="D125" s="59"/>
      <c r="E125" s="335"/>
      <c r="F125" s="336"/>
      <c r="G125" s="335"/>
      <c r="H125" s="134"/>
      <c r="I125" s="134"/>
      <c r="J125" s="43"/>
      <c r="K125" s="43"/>
      <c r="L125" s="68"/>
      <c r="M125" s="69"/>
      <c r="N125" s="362"/>
    </row>
    <row r="126" spans="1:14" ht="27" customHeight="1" x14ac:dyDescent="0.25">
      <c r="A126" s="351"/>
      <c r="B126" s="363"/>
      <c r="C126" s="335"/>
      <c r="D126" s="59"/>
      <c r="E126" s="335"/>
      <c r="F126" s="336"/>
      <c r="G126" s="335"/>
      <c r="H126" s="17"/>
      <c r="I126" s="17"/>
      <c r="J126" s="19"/>
      <c r="K126" s="19"/>
      <c r="L126" s="59"/>
      <c r="M126" s="58"/>
      <c r="N126" s="362"/>
    </row>
    <row r="127" spans="1:14" ht="36.75" customHeight="1" x14ac:dyDescent="0.25">
      <c r="A127" s="326">
        <v>21</v>
      </c>
      <c r="B127" s="332" t="s">
        <v>124</v>
      </c>
      <c r="C127" s="333" t="s">
        <v>75</v>
      </c>
      <c r="D127" s="60" t="s">
        <v>50</v>
      </c>
      <c r="E127" s="333" t="s">
        <v>86</v>
      </c>
      <c r="F127" s="334" t="s">
        <v>52</v>
      </c>
      <c r="G127" s="333" t="s">
        <v>52</v>
      </c>
      <c r="H127" s="2" t="s">
        <v>53</v>
      </c>
      <c r="I127" s="2"/>
      <c r="J127" s="160" t="s">
        <v>60</v>
      </c>
      <c r="K127" s="160"/>
      <c r="L127" s="195"/>
      <c r="M127" s="196"/>
      <c r="N127" s="359" t="s">
        <v>125</v>
      </c>
    </row>
    <row r="128" spans="1:14" ht="37.5" customHeight="1" x14ac:dyDescent="0.25">
      <c r="A128" s="327"/>
      <c r="B128" s="332"/>
      <c r="C128" s="333"/>
      <c r="D128" s="60" t="s">
        <v>95</v>
      </c>
      <c r="E128" s="333"/>
      <c r="F128" s="334"/>
      <c r="G128" s="333"/>
      <c r="H128" s="5" t="s">
        <v>71</v>
      </c>
      <c r="I128" s="5"/>
      <c r="J128" s="162" t="s">
        <v>54</v>
      </c>
      <c r="K128" s="162"/>
      <c r="L128" s="195"/>
      <c r="M128" s="196"/>
      <c r="N128" s="359"/>
    </row>
    <row r="129" spans="1:14" ht="28.5" customHeight="1" x14ac:dyDescent="0.25">
      <c r="A129" s="327"/>
      <c r="B129" s="332"/>
      <c r="C129" s="333"/>
      <c r="D129" s="60"/>
      <c r="E129" s="333"/>
      <c r="F129" s="334"/>
      <c r="G129" s="333"/>
      <c r="H129" s="4" t="s">
        <v>126</v>
      </c>
      <c r="I129" s="4"/>
      <c r="J129" s="160"/>
      <c r="K129" s="160"/>
      <c r="L129" s="195"/>
      <c r="M129" s="196"/>
      <c r="N129" s="359"/>
    </row>
    <row r="130" spans="1:14" ht="26.25" customHeight="1" x14ac:dyDescent="0.25">
      <c r="A130" s="327"/>
      <c r="B130" s="332"/>
      <c r="C130" s="333"/>
      <c r="D130" s="60"/>
      <c r="E130" s="333"/>
      <c r="F130" s="334"/>
      <c r="G130" s="333"/>
      <c r="H130" s="4"/>
      <c r="I130" s="4"/>
      <c r="J130" s="160"/>
      <c r="K130" s="160"/>
      <c r="L130" s="195"/>
      <c r="M130" s="196"/>
      <c r="N130" s="359"/>
    </row>
    <row r="131" spans="1:14" ht="27" customHeight="1" x14ac:dyDescent="0.25">
      <c r="A131" s="327"/>
      <c r="B131" s="332"/>
      <c r="C131" s="333"/>
      <c r="D131" s="60"/>
      <c r="E131" s="333"/>
      <c r="F131" s="334"/>
      <c r="G131" s="333"/>
      <c r="H131" s="4"/>
      <c r="I131" s="4"/>
      <c r="J131" s="160"/>
      <c r="K131" s="160"/>
      <c r="L131" s="195"/>
      <c r="M131" s="196"/>
      <c r="N131" s="359"/>
    </row>
    <row r="132" spans="1:14" ht="27" customHeight="1" x14ac:dyDescent="0.25">
      <c r="A132" s="328"/>
      <c r="B132" s="332"/>
      <c r="C132" s="333"/>
      <c r="D132" s="60"/>
      <c r="E132" s="333"/>
      <c r="F132" s="334"/>
      <c r="G132" s="333"/>
      <c r="H132" s="4"/>
      <c r="I132" s="4"/>
      <c r="J132" s="160"/>
      <c r="K132" s="160"/>
      <c r="L132" s="195"/>
      <c r="M132" s="196"/>
      <c r="N132" s="359"/>
    </row>
    <row r="133" spans="1:14" ht="36.75" customHeight="1" x14ac:dyDescent="0.25">
      <c r="A133" s="320">
        <v>22</v>
      </c>
      <c r="B133" s="354" t="s">
        <v>127</v>
      </c>
      <c r="C133" s="335" t="s">
        <v>49</v>
      </c>
      <c r="D133" s="59" t="s">
        <v>50</v>
      </c>
      <c r="E133" s="335" t="s">
        <v>86</v>
      </c>
      <c r="F133" s="336" t="s">
        <v>52</v>
      </c>
      <c r="G133" s="335" t="s">
        <v>52</v>
      </c>
      <c r="H133" s="19" t="s">
        <v>53</v>
      </c>
      <c r="I133" s="19" t="s">
        <v>126</v>
      </c>
      <c r="J133" s="19" t="s">
        <v>71</v>
      </c>
      <c r="K133" s="237" t="s">
        <v>118</v>
      </c>
      <c r="L133" s="59" t="s">
        <v>114</v>
      </c>
      <c r="M133" s="58"/>
      <c r="N133" s="362" t="s">
        <v>128</v>
      </c>
    </row>
    <row r="134" spans="1:14" ht="26.25" customHeight="1" x14ac:dyDescent="0.25">
      <c r="A134" s="321"/>
      <c r="B134" s="354"/>
      <c r="C134" s="335"/>
      <c r="D134" s="59"/>
      <c r="E134" s="335"/>
      <c r="F134" s="336"/>
      <c r="G134" s="335"/>
      <c r="H134" s="16"/>
      <c r="I134" s="16" t="s">
        <v>88</v>
      </c>
      <c r="J134" s="253" t="s">
        <v>73</v>
      </c>
      <c r="K134" s="16"/>
      <c r="L134" s="59" t="s">
        <v>115</v>
      </c>
      <c r="M134" s="58"/>
      <c r="N134" s="362"/>
    </row>
    <row r="135" spans="1:14" ht="28.5" customHeight="1" x14ac:dyDescent="0.25">
      <c r="A135" s="321"/>
      <c r="B135" s="354"/>
      <c r="C135" s="335"/>
      <c r="D135" s="59"/>
      <c r="E135" s="335"/>
      <c r="F135" s="336"/>
      <c r="G135" s="335"/>
      <c r="H135" s="17"/>
      <c r="I135" s="19" t="s">
        <v>60</v>
      </c>
      <c r="J135" s="232"/>
      <c r="K135" s="19"/>
      <c r="L135" s="59" t="s">
        <v>116</v>
      </c>
      <c r="M135" s="58"/>
      <c r="N135" s="362"/>
    </row>
    <row r="136" spans="1:14" ht="26.25" customHeight="1" x14ac:dyDescent="0.25">
      <c r="A136" s="321"/>
      <c r="B136" s="354"/>
      <c r="C136" s="335"/>
      <c r="D136" s="59"/>
      <c r="E136" s="335"/>
      <c r="F136" s="336"/>
      <c r="G136" s="335"/>
      <c r="H136" s="17"/>
      <c r="I136" s="17" t="s">
        <v>54</v>
      </c>
      <c r="J136" s="19"/>
      <c r="K136" s="19"/>
      <c r="L136" s="59" t="s">
        <v>129</v>
      </c>
      <c r="M136" s="58"/>
      <c r="N136" s="362"/>
    </row>
    <row r="137" spans="1:14" ht="27" customHeight="1" x14ac:dyDescent="0.25">
      <c r="A137" s="321"/>
      <c r="B137" s="354"/>
      <c r="C137" s="335"/>
      <c r="D137" s="59"/>
      <c r="E137" s="335"/>
      <c r="F137" s="336"/>
      <c r="G137" s="335"/>
      <c r="H137" s="17"/>
      <c r="I137" s="17"/>
      <c r="J137" s="168"/>
      <c r="K137" s="19"/>
      <c r="L137" s="59"/>
      <c r="M137" s="58"/>
      <c r="N137" s="362"/>
    </row>
    <row r="138" spans="1:14" ht="36.6" customHeight="1" thickBot="1" x14ac:dyDescent="0.3">
      <c r="A138" s="322"/>
      <c r="B138" s="354"/>
      <c r="C138" s="335"/>
      <c r="D138" s="59"/>
      <c r="E138" s="335"/>
      <c r="F138" s="336"/>
      <c r="G138" s="335"/>
      <c r="H138" s="31"/>
      <c r="I138" s="31"/>
      <c r="J138" s="200"/>
      <c r="K138" s="37"/>
      <c r="L138" s="64"/>
      <c r="M138" s="65"/>
      <c r="N138" s="362"/>
    </row>
    <row r="139" spans="1:14" ht="66.75" customHeight="1" x14ac:dyDescent="0.25">
      <c r="A139" s="399">
        <v>23</v>
      </c>
      <c r="B139" s="332" t="s">
        <v>130</v>
      </c>
      <c r="C139" s="333" t="s">
        <v>75</v>
      </c>
      <c r="D139" s="60" t="s">
        <v>50</v>
      </c>
      <c r="E139" s="333" t="s">
        <v>86</v>
      </c>
      <c r="F139" s="334" t="s">
        <v>52</v>
      </c>
      <c r="G139" s="356" t="s">
        <v>52</v>
      </c>
      <c r="H139" s="49" t="s">
        <v>60</v>
      </c>
      <c r="I139" s="12" t="s">
        <v>88</v>
      </c>
      <c r="J139" s="12"/>
      <c r="K139" s="197" t="s">
        <v>53</v>
      </c>
      <c r="L139" s="66" t="s">
        <v>119</v>
      </c>
      <c r="M139" s="41"/>
      <c r="N139" s="358" t="s">
        <v>131</v>
      </c>
    </row>
    <row r="140" spans="1:14" ht="26.25" customHeight="1" thickBot="1" x14ac:dyDescent="0.3">
      <c r="A140" s="399"/>
      <c r="B140" s="332"/>
      <c r="C140" s="333"/>
      <c r="D140" s="60"/>
      <c r="E140" s="333"/>
      <c r="F140" s="334"/>
      <c r="G140" s="356"/>
      <c r="H140" s="50"/>
      <c r="I140" s="51" t="s">
        <v>126</v>
      </c>
      <c r="J140" s="51"/>
      <c r="K140" s="198"/>
      <c r="L140" s="67"/>
      <c r="M140" s="42"/>
      <c r="N140" s="358"/>
    </row>
    <row r="141" spans="1:14" ht="74.25" customHeight="1" x14ac:dyDescent="0.25">
      <c r="A141" s="399"/>
      <c r="B141" s="332"/>
      <c r="C141" s="333"/>
      <c r="D141" s="60"/>
      <c r="E141" s="333"/>
      <c r="F141" s="334"/>
      <c r="G141" s="356"/>
      <c r="H141" s="52" t="s">
        <v>54</v>
      </c>
      <c r="I141" s="53"/>
      <c r="J141" s="12"/>
      <c r="K141" s="197" t="s">
        <v>60</v>
      </c>
      <c r="L141" s="66" t="s">
        <v>122</v>
      </c>
      <c r="M141" s="41"/>
      <c r="N141" s="358"/>
    </row>
    <row r="142" spans="1:14" ht="65.25" customHeight="1" thickBot="1" x14ac:dyDescent="0.3">
      <c r="A142" s="399"/>
      <c r="B142" s="332"/>
      <c r="C142" s="333"/>
      <c r="D142" s="60"/>
      <c r="E142" s="333"/>
      <c r="F142" s="334"/>
      <c r="G142" s="356"/>
      <c r="H142" s="54"/>
      <c r="I142" s="13"/>
      <c r="J142" s="14"/>
      <c r="K142" s="199"/>
      <c r="L142" s="67" t="s">
        <v>123</v>
      </c>
      <c r="M142" s="42"/>
      <c r="N142" s="358"/>
    </row>
    <row r="143" spans="1:14" ht="27" customHeight="1" x14ac:dyDescent="0.25">
      <c r="A143" s="399"/>
      <c r="B143" s="332"/>
      <c r="C143" s="333"/>
      <c r="D143" s="60"/>
      <c r="E143" s="333"/>
      <c r="F143" s="334"/>
      <c r="G143" s="333"/>
      <c r="H143" s="127"/>
      <c r="I143" s="127"/>
      <c r="J143" s="128"/>
      <c r="K143" s="128"/>
      <c r="L143" s="129"/>
      <c r="M143" s="122"/>
      <c r="N143" s="333"/>
    </row>
    <row r="144" spans="1:14" ht="1.5" customHeight="1" x14ac:dyDescent="0.25">
      <c r="A144" s="399"/>
      <c r="B144" s="332"/>
      <c r="C144" s="333"/>
      <c r="D144" s="60"/>
      <c r="E144" s="333"/>
      <c r="F144" s="334"/>
      <c r="G144" s="333"/>
      <c r="H144" s="4"/>
      <c r="I144" s="4"/>
      <c r="J144" s="2"/>
      <c r="K144" s="2"/>
      <c r="L144" s="60"/>
      <c r="M144" s="3"/>
      <c r="N144" s="333"/>
    </row>
    <row r="145" spans="1:14" ht="48.75" customHeight="1" x14ac:dyDescent="0.25">
      <c r="A145" s="320">
        <v>24</v>
      </c>
      <c r="B145" s="354" t="s">
        <v>132</v>
      </c>
      <c r="C145" s="335" t="s">
        <v>75</v>
      </c>
      <c r="D145" s="59" t="s">
        <v>50</v>
      </c>
      <c r="E145" s="335" t="s">
        <v>86</v>
      </c>
      <c r="F145" s="336" t="s">
        <v>66</v>
      </c>
      <c r="G145" s="335" t="s">
        <v>52</v>
      </c>
      <c r="H145" s="19" t="s">
        <v>53</v>
      </c>
      <c r="I145" s="19" t="s">
        <v>88</v>
      </c>
      <c r="J145" s="168" t="s">
        <v>71</v>
      </c>
      <c r="K145" s="19" t="s">
        <v>60</v>
      </c>
      <c r="L145" s="59"/>
      <c r="M145" s="58"/>
      <c r="N145" s="335"/>
    </row>
    <row r="146" spans="1:14" ht="26.25" customHeight="1" x14ac:dyDescent="0.25">
      <c r="A146" s="321"/>
      <c r="B146" s="354"/>
      <c r="C146" s="335"/>
      <c r="D146" s="59"/>
      <c r="E146" s="335"/>
      <c r="F146" s="336"/>
      <c r="G146" s="335"/>
      <c r="H146" s="16"/>
      <c r="I146" s="16"/>
      <c r="J146" s="226"/>
      <c r="K146" s="16" t="s">
        <v>54</v>
      </c>
      <c r="L146" s="59"/>
      <c r="M146" s="58"/>
      <c r="N146" s="335"/>
    </row>
    <row r="147" spans="1:14" ht="28.5" customHeight="1" x14ac:dyDescent="0.25">
      <c r="A147" s="321"/>
      <c r="B147" s="354"/>
      <c r="C147" s="335"/>
      <c r="D147" s="59"/>
      <c r="E147" s="335"/>
      <c r="F147" s="336"/>
      <c r="G147" s="335"/>
      <c r="H147" s="17"/>
      <c r="I147" s="17"/>
      <c r="J147" s="19"/>
      <c r="K147" s="237" t="s">
        <v>73</v>
      </c>
      <c r="L147" s="59"/>
      <c r="M147" s="58"/>
      <c r="N147" s="335"/>
    </row>
    <row r="148" spans="1:14" ht="26.25" customHeight="1" x14ac:dyDescent="0.25">
      <c r="A148" s="321"/>
      <c r="B148" s="354"/>
      <c r="C148" s="335"/>
      <c r="D148" s="59"/>
      <c r="E148" s="335"/>
      <c r="F148" s="336"/>
      <c r="G148" s="335"/>
      <c r="H148" s="17"/>
      <c r="I148" s="17"/>
      <c r="J148" s="19"/>
      <c r="K148" s="19"/>
      <c r="L148" s="59"/>
      <c r="M148" s="58"/>
      <c r="N148" s="335"/>
    </row>
    <row r="149" spans="1:14" ht="27" customHeight="1" x14ac:dyDescent="0.25">
      <c r="A149" s="322"/>
      <c r="B149" s="354"/>
      <c r="C149" s="335"/>
      <c r="D149" s="59"/>
      <c r="E149" s="335"/>
      <c r="F149" s="336"/>
      <c r="G149" s="335"/>
      <c r="H149" s="17"/>
      <c r="I149" s="17"/>
      <c r="J149" s="19"/>
      <c r="K149" s="19"/>
      <c r="L149" s="59"/>
      <c r="M149" s="58"/>
      <c r="N149" s="335"/>
    </row>
    <row r="150" spans="1:14" ht="27" customHeight="1" x14ac:dyDescent="0.25">
      <c r="A150" s="326">
        <v>25</v>
      </c>
      <c r="B150" s="389" t="s">
        <v>133</v>
      </c>
      <c r="C150" s="392" t="s">
        <v>75</v>
      </c>
      <c r="D150" s="60" t="s">
        <v>50</v>
      </c>
      <c r="E150" s="392" t="s">
        <v>86</v>
      </c>
      <c r="F150" s="334" t="s">
        <v>52</v>
      </c>
      <c r="G150" s="333"/>
      <c r="H150" s="5" t="s">
        <v>53</v>
      </c>
      <c r="I150" s="4" t="s">
        <v>54</v>
      </c>
      <c r="J150" s="2"/>
      <c r="K150" s="2" t="s">
        <v>88</v>
      </c>
      <c r="L150" s="60"/>
      <c r="M150" s="3"/>
      <c r="N150" s="392" t="s">
        <v>134</v>
      </c>
    </row>
    <row r="151" spans="1:14" ht="27" customHeight="1" x14ac:dyDescent="0.25">
      <c r="A151" s="327"/>
      <c r="B151" s="390"/>
      <c r="C151" s="393"/>
      <c r="D151" s="60"/>
      <c r="E151" s="393"/>
      <c r="F151" s="334"/>
      <c r="G151" s="333"/>
      <c r="H151" s="2" t="s">
        <v>71</v>
      </c>
      <c r="I151" s="2" t="s">
        <v>60</v>
      </c>
      <c r="J151" s="2"/>
      <c r="K151" s="2"/>
      <c r="L151" s="60"/>
      <c r="M151" s="3"/>
      <c r="N151" s="393"/>
    </row>
    <row r="152" spans="1:14" ht="27" customHeight="1" x14ac:dyDescent="0.25">
      <c r="A152" s="327"/>
      <c r="B152" s="390"/>
      <c r="C152" s="393"/>
      <c r="D152" s="60"/>
      <c r="E152" s="393"/>
      <c r="F152" s="334"/>
      <c r="G152" s="333"/>
      <c r="H152" s="4"/>
      <c r="I152" s="2" t="s">
        <v>135</v>
      </c>
      <c r="J152" s="2"/>
      <c r="K152" s="2"/>
      <c r="L152" s="60"/>
      <c r="M152" s="3"/>
      <c r="N152" s="393"/>
    </row>
    <row r="153" spans="1:14" ht="27" customHeight="1" x14ac:dyDescent="0.25">
      <c r="A153" s="327"/>
      <c r="B153" s="390"/>
      <c r="C153" s="393"/>
      <c r="D153" s="60"/>
      <c r="E153" s="393"/>
      <c r="F153" s="334"/>
      <c r="G153" s="333"/>
      <c r="H153" s="4"/>
      <c r="I153" s="4"/>
      <c r="J153" s="2"/>
      <c r="K153" s="2"/>
      <c r="L153" s="60"/>
      <c r="M153" s="3"/>
      <c r="N153" s="393"/>
    </row>
    <row r="154" spans="1:14" ht="27" customHeight="1" x14ac:dyDescent="0.25">
      <c r="A154" s="328"/>
      <c r="B154" s="391"/>
      <c r="C154" s="394"/>
      <c r="D154" s="60"/>
      <c r="E154" s="394"/>
      <c r="F154" s="334"/>
      <c r="G154" s="333"/>
      <c r="H154" s="4"/>
      <c r="I154" s="4"/>
      <c r="J154" s="2"/>
      <c r="K154" s="2"/>
      <c r="L154" s="60"/>
      <c r="M154" s="3"/>
      <c r="N154" s="394"/>
    </row>
    <row r="155" spans="1:14" ht="36.75" customHeight="1" x14ac:dyDescent="0.25">
      <c r="A155" s="323">
        <v>26</v>
      </c>
      <c r="B155" s="352" t="s">
        <v>136</v>
      </c>
      <c r="C155" s="335" t="s">
        <v>75</v>
      </c>
      <c r="D155" s="59" t="s">
        <v>50</v>
      </c>
      <c r="E155" s="335" t="s">
        <v>86</v>
      </c>
      <c r="F155" s="336" t="s">
        <v>52</v>
      </c>
      <c r="G155" s="335" t="s">
        <v>52</v>
      </c>
      <c r="H155" s="19" t="s">
        <v>60</v>
      </c>
      <c r="I155" s="19" t="s">
        <v>54</v>
      </c>
      <c r="J155" s="19"/>
      <c r="K155" s="19" t="s">
        <v>88</v>
      </c>
      <c r="L155" s="59"/>
      <c r="M155" s="58"/>
      <c r="N155" s="362" t="s">
        <v>137</v>
      </c>
    </row>
    <row r="156" spans="1:14" ht="36.75" customHeight="1" x14ac:dyDescent="0.25">
      <c r="A156" s="324"/>
      <c r="B156" s="352"/>
      <c r="C156" s="335"/>
      <c r="D156" s="59"/>
      <c r="E156" s="335"/>
      <c r="F156" s="336"/>
      <c r="G156" s="335"/>
      <c r="H156" s="16"/>
      <c r="I156" s="16" t="s">
        <v>71</v>
      </c>
      <c r="J156" s="16"/>
      <c r="K156" s="16"/>
      <c r="L156" s="59"/>
      <c r="M156" s="58"/>
      <c r="N156" s="362"/>
    </row>
    <row r="157" spans="1:14" ht="28.5" customHeight="1" x14ac:dyDescent="0.25">
      <c r="A157" s="324"/>
      <c r="B157" s="352"/>
      <c r="C157" s="335"/>
      <c r="D157" s="59"/>
      <c r="E157" s="335"/>
      <c r="F157" s="336"/>
      <c r="G157" s="335"/>
      <c r="H157" s="17"/>
      <c r="I157" s="17"/>
      <c r="J157" s="19"/>
      <c r="K157" s="19"/>
      <c r="L157" s="59"/>
      <c r="M157" s="58"/>
      <c r="N157" s="362"/>
    </row>
    <row r="158" spans="1:14" ht="26.25" customHeight="1" x14ac:dyDescent="0.25">
      <c r="A158" s="324"/>
      <c r="B158" s="352"/>
      <c r="C158" s="335"/>
      <c r="D158" s="59"/>
      <c r="E158" s="335"/>
      <c r="F158" s="336"/>
      <c r="G158" s="335"/>
      <c r="H158" s="17"/>
      <c r="I158" s="17"/>
      <c r="J158" s="19"/>
      <c r="K158" s="19"/>
      <c r="L158" s="59"/>
      <c r="M158" s="58"/>
      <c r="N158" s="362"/>
    </row>
    <row r="159" spans="1:14" ht="27" customHeight="1" x14ac:dyDescent="0.25">
      <c r="A159" s="324"/>
      <c r="B159" s="352"/>
      <c r="C159" s="335"/>
      <c r="D159" s="59"/>
      <c r="E159" s="335"/>
      <c r="F159" s="336"/>
      <c r="G159" s="335"/>
      <c r="H159" s="17"/>
      <c r="I159" s="17"/>
      <c r="J159" s="19"/>
      <c r="K159" s="19"/>
      <c r="L159" s="59"/>
      <c r="M159" s="58"/>
      <c r="N159" s="362"/>
    </row>
    <row r="160" spans="1:14" ht="27" customHeight="1" x14ac:dyDescent="0.25">
      <c r="A160" s="325"/>
      <c r="B160" s="352"/>
      <c r="C160" s="335"/>
      <c r="D160" s="59"/>
      <c r="E160" s="335"/>
      <c r="F160" s="336"/>
      <c r="G160" s="335"/>
      <c r="H160" s="17"/>
      <c r="I160" s="17"/>
      <c r="J160" s="19"/>
      <c r="K160" s="19"/>
      <c r="L160" s="59"/>
      <c r="M160" s="58"/>
      <c r="N160" s="362"/>
    </row>
    <row r="161" spans="1:14" ht="36.75" customHeight="1" x14ac:dyDescent="0.25">
      <c r="A161" s="326">
        <v>27</v>
      </c>
      <c r="B161" s="332" t="s">
        <v>138</v>
      </c>
      <c r="C161" s="333" t="s">
        <v>49</v>
      </c>
      <c r="D161" s="60" t="s">
        <v>50</v>
      </c>
      <c r="E161" s="333" t="s">
        <v>86</v>
      </c>
      <c r="F161" s="334" t="s">
        <v>66</v>
      </c>
      <c r="G161" s="333" t="s">
        <v>52</v>
      </c>
      <c r="H161" s="2" t="s">
        <v>71</v>
      </c>
      <c r="I161" s="2" t="s">
        <v>88</v>
      </c>
      <c r="J161" s="160" t="s">
        <v>60</v>
      </c>
      <c r="K161" s="2" t="s">
        <v>54</v>
      </c>
      <c r="L161" s="60"/>
      <c r="M161" s="3"/>
      <c r="N161" s="333"/>
    </row>
    <row r="162" spans="1:14" ht="26.25" customHeight="1" x14ac:dyDescent="0.25">
      <c r="A162" s="327"/>
      <c r="B162" s="332"/>
      <c r="C162" s="333"/>
      <c r="D162" s="60" t="s">
        <v>139</v>
      </c>
      <c r="E162" s="333"/>
      <c r="F162" s="334"/>
      <c r="G162" s="333"/>
      <c r="H162" s="5" t="s">
        <v>53</v>
      </c>
      <c r="I162" s="5"/>
      <c r="J162" s="5"/>
      <c r="K162" s="5"/>
      <c r="L162" s="60"/>
      <c r="M162" s="3"/>
      <c r="N162" s="333"/>
    </row>
    <row r="163" spans="1:14" ht="28.5" customHeight="1" x14ac:dyDescent="0.25">
      <c r="A163" s="327"/>
      <c r="B163" s="332"/>
      <c r="C163" s="333"/>
      <c r="D163" s="60" t="s">
        <v>95</v>
      </c>
      <c r="E163" s="333"/>
      <c r="F163" s="334"/>
      <c r="G163" s="333"/>
      <c r="H163" s="4"/>
      <c r="I163" s="4"/>
      <c r="J163" s="2"/>
      <c r="K163" s="2"/>
      <c r="L163" s="60"/>
      <c r="M163" s="3"/>
      <c r="N163" s="333"/>
    </row>
    <row r="164" spans="1:14" ht="26.25" customHeight="1" x14ac:dyDescent="0.25">
      <c r="A164" s="327"/>
      <c r="B164" s="332"/>
      <c r="C164" s="333"/>
      <c r="D164" s="60" t="s">
        <v>140</v>
      </c>
      <c r="E164" s="333"/>
      <c r="F164" s="334"/>
      <c r="G164" s="333"/>
      <c r="H164" s="4"/>
      <c r="I164" s="4"/>
      <c r="J164" s="2"/>
      <c r="K164" s="2"/>
      <c r="L164" s="60"/>
      <c r="M164" s="3"/>
      <c r="N164" s="333"/>
    </row>
    <row r="165" spans="1:14" ht="27" customHeight="1" x14ac:dyDescent="0.25">
      <c r="A165" s="327"/>
      <c r="B165" s="332"/>
      <c r="C165" s="333"/>
      <c r="D165" s="60"/>
      <c r="E165" s="333"/>
      <c r="F165" s="334"/>
      <c r="G165" s="333"/>
      <c r="H165" s="4"/>
      <c r="I165" s="4"/>
      <c r="J165" s="2"/>
      <c r="K165" s="2"/>
      <c r="L165" s="60"/>
      <c r="M165" s="3"/>
      <c r="N165" s="333"/>
    </row>
    <row r="166" spans="1:14" ht="69" customHeight="1" x14ac:dyDescent="0.25">
      <c r="A166" s="328"/>
      <c r="B166" s="332"/>
      <c r="C166" s="333"/>
      <c r="D166" s="60"/>
      <c r="E166" s="333"/>
      <c r="F166" s="334"/>
      <c r="G166" s="333"/>
      <c r="H166" s="4"/>
      <c r="I166" s="4"/>
      <c r="J166" s="2"/>
      <c r="K166" s="2"/>
      <c r="L166" s="60"/>
      <c r="M166" s="3"/>
      <c r="N166" s="333"/>
    </row>
    <row r="167" spans="1:14" ht="36.75" hidden="1" customHeight="1" x14ac:dyDescent="0.25">
      <c r="A167" s="329">
        <v>28</v>
      </c>
      <c r="B167" s="353" t="s">
        <v>141</v>
      </c>
      <c r="C167" s="333" t="s">
        <v>75</v>
      </c>
      <c r="D167" s="60" t="s">
        <v>50</v>
      </c>
      <c r="E167" s="333" t="s">
        <v>142</v>
      </c>
      <c r="F167" s="334" t="s">
        <v>66</v>
      </c>
      <c r="G167" s="333" t="s">
        <v>52</v>
      </c>
      <c r="H167" s="160" t="s">
        <v>60</v>
      </c>
      <c r="I167" s="160" t="s">
        <v>54</v>
      </c>
      <c r="J167" s="160"/>
      <c r="K167" s="160" t="s">
        <v>71</v>
      </c>
      <c r="L167" s="195"/>
      <c r="M167" s="196"/>
      <c r="N167" s="359" t="s">
        <v>143</v>
      </c>
    </row>
    <row r="168" spans="1:14" ht="26.25" hidden="1" customHeight="1" x14ac:dyDescent="0.25">
      <c r="A168" s="330"/>
      <c r="B168" s="353"/>
      <c r="C168" s="333"/>
      <c r="D168" s="60"/>
      <c r="E168" s="333"/>
      <c r="F168" s="334"/>
      <c r="G168" s="333"/>
      <c r="H168" s="162"/>
      <c r="I168" s="162" t="s">
        <v>57</v>
      </c>
      <c r="J168" s="162"/>
      <c r="K168" s="162" t="s">
        <v>88</v>
      </c>
      <c r="L168" s="195"/>
      <c r="M168" s="196"/>
      <c r="N168" s="359"/>
    </row>
    <row r="169" spans="1:14" ht="28.5" customHeight="1" x14ac:dyDescent="0.25">
      <c r="A169" s="330"/>
      <c r="B169" s="353"/>
      <c r="C169" s="333"/>
      <c r="D169" s="60"/>
      <c r="E169" s="333"/>
      <c r="F169" s="334"/>
      <c r="G169" s="333"/>
      <c r="H169" s="174" t="s">
        <v>54</v>
      </c>
      <c r="I169" s="174" t="s">
        <v>39</v>
      </c>
      <c r="J169" s="234" t="s">
        <v>73</v>
      </c>
      <c r="K169" s="234" t="s">
        <v>55</v>
      </c>
      <c r="L169" s="195"/>
      <c r="M169" s="196"/>
      <c r="N169" s="359"/>
    </row>
    <row r="170" spans="1:14" ht="26.25" customHeight="1" x14ac:dyDescent="0.25">
      <c r="A170" s="330"/>
      <c r="B170" s="353"/>
      <c r="C170" s="333"/>
      <c r="D170" s="60"/>
      <c r="E170" s="333"/>
      <c r="F170" s="334"/>
      <c r="G170" s="333"/>
      <c r="H170" s="174" t="s">
        <v>60</v>
      </c>
      <c r="I170" s="201"/>
      <c r="J170" s="160"/>
      <c r="K170" s="160"/>
      <c r="L170" s="195"/>
      <c r="M170" s="196"/>
      <c r="N170" s="359"/>
    </row>
    <row r="171" spans="1:14" ht="27" customHeight="1" x14ac:dyDescent="0.25">
      <c r="A171" s="330"/>
      <c r="B171" s="353"/>
      <c r="C171" s="333"/>
      <c r="D171" s="60"/>
      <c r="E171" s="333"/>
      <c r="F171" s="334"/>
      <c r="G171" s="333"/>
      <c r="H171" s="174"/>
      <c r="I171" s="174"/>
      <c r="J171" s="160"/>
      <c r="K171" s="160"/>
      <c r="L171" s="195"/>
      <c r="M171" s="196"/>
      <c r="N171" s="359"/>
    </row>
    <row r="172" spans="1:14" ht="27" customHeight="1" x14ac:dyDescent="0.25">
      <c r="A172" s="331"/>
      <c r="B172" s="353"/>
      <c r="C172" s="333"/>
      <c r="D172" s="60"/>
      <c r="E172" s="333"/>
      <c r="F172" s="334"/>
      <c r="G172" s="333"/>
      <c r="H172" s="174"/>
      <c r="I172" s="174"/>
      <c r="J172" s="160"/>
      <c r="K172" s="160"/>
      <c r="L172" s="195"/>
      <c r="M172" s="196"/>
      <c r="N172" s="359"/>
    </row>
    <row r="173" spans="1:14" ht="56.25" customHeight="1" x14ac:dyDescent="0.25">
      <c r="A173" s="323">
        <v>29</v>
      </c>
      <c r="B173" s="352" t="s">
        <v>144</v>
      </c>
      <c r="C173" s="335" t="s">
        <v>75</v>
      </c>
      <c r="D173" s="59" t="s">
        <v>50</v>
      </c>
      <c r="E173" s="335" t="s">
        <v>142</v>
      </c>
      <c r="F173" s="336" t="s">
        <v>52</v>
      </c>
      <c r="G173" s="335" t="s">
        <v>52</v>
      </c>
      <c r="H173" s="19" t="s">
        <v>54</v>
      </c>
      <c r="I173" s="168" t="s">
        <v>60</v>
      </c>
      <c r="J173" s="168" t="s">
        <v>72</v>
      </c>
      <c r="K173" s="19"/>
      <c r="L173" s="59"/>
      <c r="M173" s="58"/>
      <c r="N173" s="335"/>
    </row>
    <row r="174" spans="1:14" ht="26.25" customHeight="1" x14ac:dyDescent="0.25">
      <c r="A174" s="324"/>
      <c r="B174" s="352"/>
      <c r="C174" s="335"/>
      <c r="D174" s="59"/>
      <c r="E174" s="335"/>
      <c r="F174" s="336"/>
      <c r="G174" s="335"/>
      <c r="H174" s="16"/>
      <c r="I174" s="16"/>
      <c r="J174" s="16"/>
      <c r="K174" s="16"/>
      <c r="L174" s="59"/>
      <c r="M174" s="58"/>
      <c r="N174" s="335"/>
    </row>
    <row r="175" spans="1:14" ht="28.5" customHeight="1" x14ac:dyDescent="0.25">
      <c r="A175" s="324"/>
      <c r="B175" s="352"/>
      <c r="C175" s="335"/>
      <c r="D175" s="59"/>
      <c r="E175" s="335"/>
      <c r="F175" s="336"/>
      <c r="G175" s="335"/>
      <c r="H175" s="17"/>
      <c r="I175" s="17"/>
      <c r="J175" s="19"/>
      <c r="K175" s="19"/>
      <c r="L175" s="59"/>
      <c r="M175" s="58"/>
      <c r="N175" s="335"/>
    </row>
    <row r="176" spans="1:14" ht="26.25" customHeight="1" x14ac:dyDescent="0.25">
      <c r="A176" s="324"/>
      <c r="B176" s="352"/>
      <c r="C176" s="335"/>
      <c r="D176" s="59"/>
      <c r="E176" s="335"/>
      <c r="F176" s="336"/>
      <c r="G176" s="335"/>
      <c r="H176" s="17"/>
      <c r="I176" s="17"/>
      <c r="J176" s="19"/>
      <c r="K176" s="19"/>
      <c r="L176" s="59"/>
      <c r="M176" s="58"/>
      <c r="N176" s="335"/>
    </row>
    <row r="177" spans="1:14" ht="27" customHeight="1" x14ac:dyDescent="0.25">
      <c r="A177" s="324"/>
      <c r="B177" s="352"/>
      <c r="C177" s="335"/>
      <c r="D177" s="59"/>
      <c r="E177" s="335"/>
      <c r="F177" s="336"/>
      <c r="G177" s="335"/>
      <c r="H177" s="17"/>
      <c r="I177" s="17"/>
      <c r="J177" s="19"/>
      <c r="K177" s="19"/>
      <c r="L177" s="59"/>
      <c r="M177" s="58"/>
      <c r="N177" s="335"/>
    </row>
    <row r="178" spans="1:14" ht="27" customHeight="1" x14ac:dyDescent="0.25">
      <c r="A178" s="325"/>
      <c r="B178" s="352"/>
      <c r="C178" s="335"/>
      <c r="D178" s="59"/>
      <c r="E178" s="335"/>
      <c r="F178" s="336"/>
      <c r="G178" s="335"/>
      <c r="H178" s="17"/>
      <c r="I178" s="17"/>
      <c r="J178" s="19"/>
      <c r="K178" s="19"/>
      <c r="L178" s="59"/>
      <c r="M178" s="58"/>
      <c r="N178" s="335"/>
    </row>
    <row r="179" spans="1:14" ht="27" customHeight="1" x14ac:dyDescent="0.25">
      <c r="A179" s="326">
        <v>30</v>
      </c>
      <c r="B179" s="395" t="s">
        <v>145</v>
      </c>
      <c r="C179" s="392" t="s">
        <v>75</v>
      </c>
      <c r="D179" s="60" t="s">
        <v>139</v>
      </c>
      <c r="E179" s="392" t="s">
        <v>142</v>
      </c>
      <c r="F179" s="334" t="s">
        <v>66</v>
      </c>
      <c r="G179" s="333" t="s">
        <v>52</v>
      </c>
      <c r="H179" s="145" t="s">
        <v>39</v>
      </c>
      <c r="I179" s="127"/>
      <c r="J179" s="128"/>
      <c r="K179" s="128"/>
      <c r="L179" s="129"/>
      <c r="M179" s="146"/>
      <c r="N179" s="333" t="s">
        <v>146</v>
      </c>
    </row>
    <row r="180" spans="1:14" ht="27" customHeight="1" x14ac:dyDescent="0.25">
      <c r="A180" s="327"/>
      <c r="B180" s="396"/>
      <c r="C180" s="393"/>
      <c r="D180" s="60" t="s">
        <v>95</v>
      </c>
      <c r="E180" s="393"/>
      <c r="F180" s="334"/>
      <c r="G180" s="333"/>
      <c r="H180" s="145"/>
      <c r="I180" s="127"/>
      <c r="J180" s="128"/>
      <c r="K180" s="128"/>
      <c r="L180" s="129"/>
      <c r="M180" s="146"/>
      <c r="N180" s="333"/>
    </row>
    <row r="181" spans="1:14" ht="27" customHeight="1" x14ac:dyDescent="0.25">
      <c r="A181" s="327"/>
      <c r="B181" s="396"/>
      <c r="C181" s="393"/>
      <c r="D181" s="60" t="s">
        <v>140</v>
      </c>
      <c r="E181" s="393"/>
      <c r="F181" s="334"/>
      <c r="G181" s="333"/>
      <c r="H181" s="145"/>
      <c r="I181" s="127"/>
      <c r="J181" s="128"/>
      <c r="K181" s="128"/>
      <c r="L181" s="129"/>
      <c r="M181" s="146"/>
      <c r="N181" s="333"/>
    </row>
    <row r="182" spans="1:14" ht="27" customHeight="1" x14ac:dyDescent="0.25">
      <c r="A182" s="327"/>
      <c r="B182" s="396"/>
      <c r="C182" s="393"/>
      <c r="D182" s="60"/>
      <c r="E182" s="393"/>
      <c r="F182" s="334"/>
      <c r="G182" s="333"/>
      <c r="H182" s="145"/>
      <c r="I182" s="127"/>
      <c r="J182" s="128"/>
      <c r="K182" s="128"/>
      <c r="L182" s="129"/>
      <c r="M182" s="146"/>
      <c r="N182" s="333"/>
    </row>
    <row r="183" spans="1:14" ht="27" customHeight="1" thickBot="1" x14ac:dyDescent="0.3">
      <c r="A183" s="328"/>
      <c r="B183" s="397"/>
      <c r="C183" s="394"/>
      <c r="D183" s="60"/>
      <c r="E183" s="394"/>
      <c r="F183" s="334"/>
      <c r="G183" s="333"/>
      <c r="H183" s="145"/>
      <c r="I183" s="127"/>
      <c r="J183" s="128"/>
      <c r="K183" s="128"/>
      <c r="L183" s="129"/>
      <c r="M183" s="146"/>
      <c r="N183" s="333"/>
    </row>
    <row r="184" spans="1:14" ht="36.75" customHeight="1" x14ac:dyDescent="0.25">
      <c r="A184" s="344">
        <v>31</v>
      </c>
      <c r="B184" s="337" t="s">
        <v>147</v>
      </c>
      <c r="C184" s="340" t="s">
        <v>75</v>
      </c>
      <c r="D184" s="59" t="s">
        <v>50</v>
      </c>
      <c r="E184" s="340" t="s">
        <v>148</v>
      </c>
      <c r="F184" s="371" t="s">
        <v>52</v>
      </c>
      <c r="G184" s="374" t="s">
        <v>52</v>
      </c>
      <c r="H184" s="83" t="s">
        <v>53</v>
      </c>
      <c r="I184" s="15" t="s">
        <v>60</v>
      </c>
      <c r="J184" s="15"/>
      <c r="K184" s="15"/>
      <c r="L184" s="74"/>
      <c r="M184" s="44"/>
      <c r="N184" s="377" t="s">
        <v>149</v>
      </c>
    </row>
    <row r="185" spans="1:14" ht="26.25" customHeight="1" x14ac:dyDescent="0.25">
      <c r="A185" s="344"/>
      <c r="B185" s="338"/>
      <c r="C185" s="341"/>
      <c r="D185" s="59" t="s">
        <v>95</v>
      </c>
      <c r="E185" s="341"/>
      <c r="F185" s="372"/>
      <c r="G185" s="375"/>
      <c r="H185" s="147"/>
      <c r="I185" s="16" t="s">
        <v>57</v>
      </c>
      <c r="J185" s="16"/>
      <c r="K185" s="16"/>
      <c r="L185" s="59"/>
      <c r="M185" s="148"/>
      <c r="N185" s="378"/>
    </row>
    <row r="186" spans="1:14" ht="26.25" customHeight="1" x14ac:dyDescent="0.25">
      <c r="A186" s="344"/>
      <c r="B186" s="338"/>
      <c r="C186" s="341"/>
      <c r="D186" s="59"/>
      <c r="E186" s="341"/>
      <c r="F186" s="372"/>
      <c r="G186" s="375"/>
      <c r="H186" s="254"/>
      <c r="I186" s="258" t="s">
        <v>55</v>
      </c>
      <c r="J186" s="255"/>
      <c r="K186" s="255"/>
      <c r="L186" s="64"/>
      <c r="M186" s="256"/>
      <c r="N186" s="378"/>
    </row>
    <row r="187" spans="1:14" ht="28.5" customHeight="1" thickBot="1" x14ac:dyDescent="0.3">
      <c r="A187" s="344"/>
      <c r="B187" s="338"/>
      <c r="C187" s="341"/>
      <c r="D187" s="59" t="s">
        <v>139</v>
      </c>
      <c r="E187" s="341"/>
      <c r="F187" s="372"/>
      <c r="G187" s="375"/>
      <c r="H187" s="48"/>
      <c r="I187" s="18" t="s">
        <v>58</v>
      </c>
      <c r="J187" s="36"/>
      <c r="K187" s="36"/>
      <c r="L187" s="75"/>
      <c r="M187" s="45"/>
      <c r="N187" s="378"/>
    </row>
    <row r="188" spans="1:14" ht="26.25" customHeight="1" x14ac:dyDescent="0.25">
      <c r="A188" s="344"/>
      <c r="B188" s="338"/>
      <c r="C188" s="341"/>
      <c r="D188" s="59" t="s">
        <v>140</v>
      </c>
      <c r="E188" s="341"/>
      <c r="F188" s="372"/>
      <c r="G188" s="375"/>
      <c r="H188" s="46"/>
      <c r="I188" s="259" t="s">
        <v>55</v>
      </c>
      <c r="J188" s="15"/>
      <c r="K188" s="15"/>
      <c r="L188" s="74"/>
      <c r="M188" s="44"/>
      <c r="N188" s="378"/>
    </row>
    <row r="189" spans="1:14" ht="27" customHeight="1" x14ac:dyDescent="0.25">
      <c r="A189" s="344"/>
      <c r="B189" s="338"/>
      <c r="C189" s="341"/>
      <c r="D189" s="59"/>
      <c r="E189" s="341"/>
      <c r="F189" s="372"/>
      <c r="G189" s="375"/>
      <c r="H189" s="149" t="s">
        <v>60</v>
      </c>
      <c r="I189" s="19" t="s">
        <v>150</v>
      </c>
      <c r="J189" s="19"/>
      <c r="K189" s="19"/>
      <c r="L189" s="59"/>
      <c r="M189" s="148"/>
      <c r="N189" s="378"/>
    </row>
    <row r="190" spans="1:14" ht="27" customHeight="1" thickBot="1" x14ac:dyDescent="0.3">
      <c r="A190" s="344"/>
      <c r="B190" s="338"/>
      <c r="C190" s="341"/>
      <c r="D190" s="59"/>
      <c r="E190" s="341"/>
      <c r="F190" s="372"/>
      <c r="G190" s="375"/>
      <c r="H190" s="48"/>
      <c r="I190" s="18" t="s">
        <v>76</v>
      </c>
      <c r="J190" s="36"/>
      <c r="K190" s="36"/>
      <c r="L190" s="75"/>
      <c r="M190" s="45"/>
      <c r="N190" s="378"/>
    </row>
    <row r="191" spans="1:14" ht="27" customHeight="1" x14ac:dyDescent="0.25">
      <c r="A191" s="344"/>
      <c r="B191" s="338"/>
      <c r="C191" s="341"/>
      <c r="D191" s="59"/>
      <c r="E191" s="341"/>
      <c r="F191" s="372"/>
      <c r="G191" s="375"/>
      <c r="H191" s="46"/>
      <c r="I191" s="259" t="s">
        <v>55</v>
      </c>
      <c r="J191" s="15"/>
      <c r="K191" s="15"/>
      <c r="L191" s="74"/>
      <c r="M191" s="44"/>
      <c r="N191" s="378"/>
    </row>
    <row r="192" spans="1:14" ht="27" customHeight="1" x14ac:dyDescent="0.25">
      <c r="A192" s="344"/>
      <c r="B192" s="338"/>
      <c r="C192" s="341"/>
      <c r="D192" s="59"/>
      <c r="E192" s="341"/>
      <c r="F192" s="372"/>
      <c r="G192" s="375"/>
      <c r="H192" s="149" t="s">
        <v>54</v>
      </c>
      <c r="I192" s="19" t="s">
        <v>150</v>
      </c>
      <c r="J192" s="19"/>
      <c r="K192" s="19"/>
      <c r="L192" s="59"/>
      <c r="M192" s="148"/>
      <c r="N192" s="378"/>
    </row>
    <row r="193" spans="1:14" ht="27" customHeight="1" thickBot="1" x14ac:dyDescent="0.3">
      <c r="A193" s="344"/>
      <c r="B193" s="339"/>
      <c r="C193" s="342"/>
      <c r="D193" s="59"/>
      <c r="E193" s="342"/>
      <c r="F193" s="373"/>
      <c r="G193" s="376"/>
      <c r="H193" s="48"/>
      <c r="I193" s="18" t="s">
        <v>76</v>
      </c>
      <c r="J193" s="36"/>
      <c r="K193" s="36"/>
      <c r="L193" s="75"/>
      <c r="M193" s="45"/>
      <c r="N193" s="379"/>
    </row>
    <row r="194" spans="1:14" ht="36.75" customHeight="1" x14ac:dyDescent="0.25">
      <c r="A194" s="329">
        <v>32</v>
      </c>
      <c r="B194" s="353" t="s">
        <v>151</v>
      </c>
      <c r="C194" s="359" t="s">
        <v>75</v>
      </c>
      <c r="D194" s="195" t="s">
        <v>50</v>
      </c>
      <c r="E194" s="367" t="s">
        <v>152</v>
      </c>
      <c r="F194" s="370"/>
      <c r="G194" s="359"/>
      <c r="H194" s="160" t="s">
        <v>70</v>
      </c>
      <c r="I194" s="160" t="s">
        <v>54</v>
      </c>
      <c r="J194" s="234" t="s">
        <v>55</v>
      </c>
      <c r="K194" s="160"/>
      <c r="L194" s="195"/>
      <c r="M194" s="196"/>
      <c r="N194" s="359" t="s">
        <v>153</v>
      </c>
    </row>
    <row r="195" spans="1:14" ht="26.25" customHeight="1" x14ac:dyDescent="0.25">
      <c r="A195" s="330"/>
      <c r="B195" s="353"/>
      <c r="C195" s="359"/>
      <c r="D195" s="195"/>
      <c r="E195" s="368"/>
      <c r="F195" s="370"/>
      <c r="G195" s="359"/>
      <c r="H195" s="175"/>
      <c r="I195" s="162" t="s">
        <v>154</v>
      </c>
      <c r="J195" s="162"/>
      <c r="K195" s="162"/>
      <c r="L195" s="195"/>
      <c r="M195" s="196"/>
      <c r="N195" s="359"/>
    </row>
    <row r="196" spans="1:14" ht="28.5" customHeight="1" x14ac:dyDescent="0.25">
      <c r="A196" s="330"/>
      <c r="B196" s="353"/>
      <c r="C196" s="359"/>
      <c r="D196" s="195"/>
      <c r="E196" s="368"/>
      <c r="F196" s="370"/>
      <c r="G196" s="359"/>
      <c r="H196" s="174"/>
      <c r="I196" s="160" t="s">
        <v>60</v>
      </c>
      <c r="J196" s="160"/>
      <c r="K196" s="160"/>
      <c r="L196" s="195"/>
      <c r="M196" s="196"/>
      <c r="N196" s="359"/>
    </row>
    <row r="197" spans="1:14" ht="26.25" customHeight="1" x14ac:dyDescent="0.25">
      <c r="A197" s="330"/>
      <c r="B197" s="353"/>
      <c r="C197" s="359"/>
      <c r="D197" s="195"/>
      <c r="E197" s="368"/>
      <c r="F197" s="370"/>
      <c r="G197" s="359"/>
      <c r="H197" s="174"/>
      <c r="I197" s="174" t="s">
        <v>53</v>
      </c>
      <c r="J197" s="160"/>
      <c r="K197" s="160"/>
      <c r="L197" s="195"/>
      <c r="M197" s="196"/>
      <c r="N197" s="359"/>
    </row>
    <row r="198" spans="1:14" ht="27" customHeight="1" x14ac:dyDescent="0.25">
      <c r="A198" s="330"/>
      <c r="B198" s="353"/>
      <c r="C198" s="359"/>
      <c r="D198" s="195"/>
      <c r="E198" s="368"/>
      <c r="F198" s="370"/>
      <c r="G198" s="359"/>
      <c r="H198" s="174"/>
      <c r="I198" s="174" t="s">
        <v>57</v>
      </c>
      <c r="J198" s="160"/>
      <c r="K198" s="160"/>
      <c r="L198" s="195"/>
      <c r="M198" s="196"/>
      <c r="N198" s="359"/>
    </row>
    <row r="199" spans="1:14" ht="79.5" customHeight="1" x14ac:dyDescent="0.25">
      <c r="A199" s="331"/>
      <c r="B199" s="353"/>
      <c r="C199" s="359"/>
      <c r="D199" s="195"/>
      <c r="E199" s="369"/>
      <c r="F199" s="370"/>
      <c r="G199" s="359"/>
      <c r="H199" s="174"/>
      <c r="I199" s="235" t="s">
        <v>55</v>
      </c>
      <c r="J199" s="160"/>
      <c r="K199" s="160"/>
      <c r="L199" s="195"/>
      <c r="M199" s="196"/>
      <c r="N199" s="359"/>
    </row>
    <row r="200" spans="1:14" ht="36.75" customHeight="1" x14ac:dyDescent="0.25">
      <c r="A200" s="326"/>
      <c r="B200" s="332"/>
      <c r="C200" s="333"/>
      <c r="D200" s="60"/>
      <c r="E200" s="392"/>
      <c r="F200" s="334"/>
      <c r="G200" s="333"/>
      <c r="H200" s="2"/>
      <c r="I200" s="2"/>
      <c r="J200" s="2"/>
      <c r="K200" s="2"/>
      <c r="L200" s="60"/>
      <c r="M200" s="3"/>
      <c r="N200" s="333"/>
    </row>
    <row r="201" spans="1:14" ht="26.25" customHeight="1" x14ac:dyDescent="0.25">
      <c r="A201" s="327"/>
      <c r="B201" s="332"/>
      <c r="C201" s="333"/>
      <c r="D201" s="60"/>
      <c r="E201" s="393"/>
      <c r="F201" s="334"/>
      <c r="G201" s="333"/>
      <c r="H201" s="5"/>
      <c r="I201" s="5"/>
      <c r="J201" s="5"/>
      <c r="K201" s="5"/>
      <c r="L201" s="60"/>
      <c r="M201" s="3"/>
      <c r="N201" s="333"/>
    </row>
    <row r="202" spans="1:14" ht="28.5" customHeight="1" x14ac:dyDescent="0.25">
      <c r="A202" s="327"/>
      <c r="B202" s="332"/>
      <c r="C202" s="333"/>
      <c r="D202" s="60"/>
      <c r="E202" s="393"/>
      <c r="F202" s="334"/>
      <c r="G202" s="333"/>
      <c r="H202" s="4"/>
      <c r="I202" s="4"/>
      <c r="J202" s="2"/>
      <c r="K202" s="2"/>
      <c r="L202" s="60"/>
      <c r="M202" s="3"/>
      <c r="N202" s="333"/>
    </row>
    <row r="203" spans="1:14" ht="26.25" customHeight="1" x14ac:dyDescent="0.25">
      <c r="A203" s="327"/>
      <c r="B203" s="332"/>
      <c r="C203" s="333"/>
      <c r="D203" s="60"/>
      <c r="E203" s="393"/>
      <c r="F203" s="334"/>
      <c r="G203" s="333"/>
      <c r="H203" s="4"/>
      <c r="I203" s="4"/>
      <c r="J203" s="2"/>
      <c r="K203" s="2"/>
      <c r="L203" s="60"/>
      <c r="M203" s="3"/>
      <c r="N203" s="333"/>
    </row>
    <row r="204" spans="1:14" ht="27" customHeight="1" x14ac:dyDescent="0.25">
      <c r="A204" s="327"/>
      <c r="B204" s="332"/>
      <c r="C204" s="333"/>
      <c r="D204" s="60"/>
      <c r="E204" s="393"/>
      <c r="F204" s="334"/>
      <c r="G204" s="333"/>
      <c r="H204" s="4"/>
      <c r="I204" s="4"/>
      <c r="J204" s="2"/>
      <c r="K204" s="2"/>
      <c r="L204" s="60"/>
      <c r="M204" s="3"/>
      <c r="N204" s="333"/>
    </row>
    <row r="205" spans="1:14" ht="27" customHeight="1" x14ac:dyDescent="0.25">
      <c r="A205" s="328"/>
      <c r="B205" s="332"/>
      <c r="C205" s="333"/>
      <c r="D205" s="60"/>
      <c r="E205" s="394"/>
      <c r="F205" s="334"/>
      <c r="G205" s="333"/>
      <c r="H205" s="4"/>
      <c r="I205" s="4"/>
      <c r="J205" s="2"/>
      <c r="K205" s="2"/>
      <c r="L205" s="60"/>
      <c r="M205" s="3"/>
      <c r="N205" s="333"/>
    </row>
    <row r="206" spans="1:14" ht="36.75" customHeight="1" x14ac:dyDescent="0.25">
      <c r="A206" s="323"/>
      <c r="B206" s="352"/>
      <c r="C206" s="335"/>
      <c r="D206" s="59"/>
      <c r="E206" s="340"/>
      <c r="F206" s="336"/>
      <c r="G206" s="335"/>
      <c r="H206" s="19"/>
      <c r="I206" s="19"/>
      <c r="J206" s="19"/>
      <c r="K206" s="19"/>
      <c r="L206" s="59"/>
      <c r="M206" s="58"/>
      <c r="N206" s="335"/>
    </row>
    <row r="207" spans="1:14" ht="26.25" customHeight="1" x14ac:dyDescent="0.25">
      <c r="A207" s="324"/>
      <c r="B207" s="352"/>
      <c r="C207" s="335"/>
      <c r="D207" s="59"/>
      <c r="E207" s="341"/>
      <c r="F207" s="336"/>
      <c r="G207" s="335"/>
      <c r="H207" s="16"/>
      <c r="I207" s="16"/>
      <c r="J207" s="16"/>
      <c r="K207" s="16"/>
      <c r="L207" s="59"/>
      <c r="M207" s="58"/>
      <c r="N207" s="335"/>
    </row>
    <row r="208" spans="1:14" ht="28.5" customHeight="1" x14ac:dyDescent="0.25">
      <c r="A208" s="324"/>
      <c r="B208" s="352"/>
      <c r="C208" s="335"/>
      <c r="D208" s="59"/>
      <c r="E208" s="341"/>
      <c r="F208" s="336"/>
      <c r="G208" s="335"/>
      <c r="H208" s="17"/>
      <c r="I208" s="17"/>
      <c r="J208" s="19"/>
      <c r="K208" s="19"/>
      <c r="L208" s="59"/>
      <c r="M208" s="58"/>
      <c r="N208" s="335"/>
    </row>
    <row r="209" spans="1:14" ht="26.25" customHeight="1" x14ac:dyDescent="0.25">
      <c r="A209" s="324"/>
      <c r="B209" s="352"/>
      <c r="C209" s="335"/>
      <c r="D209" s="59"/>
      <c r="E209" s="341"/>
      <c r="F209" s="336"/>
      <c r="G209" s="335"/>
      <c r="H209" s="17"/>
      <c r="I209" s="17"/>
      <c r="J209" s="19"/>
      <c r="K209" s="19"/>
      <c r="L209" s="59"/>
      <c r="M209" s="58"/>
      <c r="N209" s="335"/>
    </row>
    <row r="210" spans="1:14" ht="27" customHeight="1" x14ac:dyDescent="0.25">
      <c r="A210" s="324"/>
      <c r="B210" s="352"/>
      <c r="C210" s="335"/>
      <c r="D210" s="59"/>
      <c r="E210" s="341"/>
      <c r="F210" s="336"/>
      <c r="G210" s="335"/>
      <c r="H210" s="17"/>
      <c r="I210" s="17"/>
      <c r="J210" s="19"/>
      <c r="K210" s="19"/>
      <c r="L210" s="59"/>
      <c r="M210" s="58"/>
      <c r="N210" s="335"/>
    </row>
    <row r="211" spans="1:14" ht="27" customHeight="1" x14ac:dyDescent="0.25">
      <c r="A211" s="325"/>
      <c r="B211" s="352"/>
      <c r="C211" s="335"/>
      <c r="D211" s="59"/>
      <c r="E211" s="342"/>
      <c r="F211" s="336"/>
      <c r="G211" s="335"/>
      <c r="H211" s="17"/>
      <c r="I211" s="17"/>
      <c r="J211" s="19"/>
      <c r="K211" s="19"/>
      <c r="L211" s="59"/>
      <c r="M211" s="58"/>
      <c r="N211" s="335"/>
    </row>
    <row r="212" spans="1:14" ht="36.75" customHeight="1" x14ac:dyDescent="0.25">
      <c r="A212" s="326"/>
      <c r="B212" s="332"/>
      <c r="C212" s="333"/>
      <c r="D212" s="60"/>
      <c r="E212" s="333"/>
      <c r="F212" s="334"/>
      <c r="G212" s="333"/>
      <c r="H212" s="2"/>
      <c r="I212" s="2"/>
      <c r="J212" s="2"/>
      <c r="K212" s="2"/>
      <c r="L212" s="60"/>
      <c r="M212" s="3"/>
      <c r="N212" s="333"/>
    </row>
    <row r="213" spans="1:14" ht="26.25" customHeight="1" x14ac:dyDescent="0.25">
      <c r="A213" s="327"/>
      <c r="B213" s="332"/>
      <c r="C213" s="333"/>
      <c r="D213" s="60"/>
      <c r="E213" s="333"/>
      <c r="F213" s="334"/>
      <c r="G213" s="333"/>
      <c r="H213" s="5"/>
      <c r="I213" s="5"/>
      <c r="J213" s="5"/>
      <c r="K213" s="5"/>
      <c r="L213" s="60"/>
      <c r="M213" s="3"/>
      <c r="N213" s="333"/>
    </row>
    <row r="214" spans="1:14" ht="28.5" customHeight="1" x14ac:dyDescent="0.25">
      <c r="A214" s="327"/>
      <c r="B214" s="332"/>
      <c r="C214" s="333"/>
      <c r="D214" s="60"/>
      <c r="E214" s="333"/>
      <c r="F214" s="334"/>
      <c r="G214" s="333"/>
      <c r="H214" s="4"/>
      <c r="I214" s="4"/>
      <c r="J214" s="2"/>
      <c r="K214" s="2"/>
      <c r="L214" s="60"/>
      <c r="M214" s="3"/>
      <c r="N214" s="333"/>
    </row>
    <row r="215" spans="1:14" ht="26.25" customHeight="1" x14ac:dyDescent="0.25">
      <c r="A215" s="327"/>
      <c r="B215" s="332"/>
      <c r="C215" s="333"/>
      <c r="D215" s="60"/>
      <c r="E215" s="333"/>
      <c r="F215" s="334"/>
      <c r="G215" s="333"/>
      <c r="H215" s="4"/>
      <c r="I215" s="4"/>
      <c r="J215" s="2"/>
      <c r="K215" s="2"/>
      <c r="L215" s="60"/>
      <c r="M215" s="3"/>
      <c r="N215" s="333"/>
    </row>
    <row r="216" spans="1:14" ht="27" customHeight="1" x14ac:dyDescent="0.25">
      <c r="A216" s="327"/>
      <c r="B216" s="332"/>
      <c r="C216" s="333"/>
      <c r="D216" s="60"/>
      <c r="E216" s="333"/>
      <c r="F216" s="334"/>
      <c r="G216" s="333"/>
      <c r="H216" s="4"/>
      <c r="I216" s="4"/>
      <c r="J216" s="2"/>
      <c r="K216" s="2"/>
      <c r="L216" s="60"/>
      <c r="M216" s="3"/>
      <c r="N216" s="333"/>
    </row>
    <row r="217" spans="1:14" ht="27" customHeight="1" x14ac:dyDescent="0.25">
      <c r="A217" s="328"/>
      <c r="B217" s="332"/>
      <c r="C217" s="333"/>
      <c r="D217" s="60"/>
      <c r="E217" s="333"/>
      <c r="F217" s="334"/>
      <c r="G217" s="333"/>
      <c r="H217" s="4"/>
      <c r="I217" s="4"/>
      <c r="J217" s="2"/>
      <c r="K217" s="2"/>
      <c r="L217" s="60"/>
      <c r="M217" s="3"/>
      <c r="N217" s="333"/>
    </row>
    <row r="218" spans="1:14" ht="36.75" customHeight="1" x14ac:dyDescent="0.25">
      <c r="A218" s="326"/>
      <c r="B218" s="332"/>
      <c r="C218" s="333"/>
      <c r="D218" s="60"/>
      <c r="E218" s="333"/>
      <c r="F218" s="334"/>
      <c r="G218" s="333"/>
      <c r="H218" s="2"/>
      <c r="I218" s="2"/>
      <c r="J218" s="2"/>
      <c r="K218" s="2"/>
      <c r="L218" s="60"/>
      <c r="M218" s="3"/>
      <c r="N218" s="333"/>
    </row>
    <row r="219" spans="1:14" ht="26.25" customHeight="1" x14ac:dyDescent="0.25">
      <c r="A219" s="327"/>
      <c r="B219" s="332"/>
      <c r="C219" s="333"/>
      <c r="D219" s="60"/>
      <c r="E219" s="333"/>
      <c r="F219" s="334"/>
      <c r="G219" s="333"/>
      <c r="H219" s="5"/>
      <c r="I219" s="5"/>
      <c r="J219" s="5"/>
      <c r="K219" s="5"/>
      <c r="L219" s="60"/>
      <c r="M219" s="3"/>
      <c r="N219" s="333"/>
    </row>
    <row r="220" spans="1:14" ht="28.5" customHeight="1" x14ac:dyDescent="0.25">
      <c r="A220" s="327"/>
      <c r="B220" s="332"/>
      <c r="C220" s="333"/>
      <c r="D220" s="60"/>
      <c r="E220" s="333"/>
      <c r="F220" s="334"/>
      <c r="G220" s="333"/>
      <c r="H220" s="4"/>
      <c r="I220" s="4"/>
      <c r="J220" s="2"/>
      <c r="K220" s="2"/>
      <c r="L220" s="60"/>
      <c r="M220" s="3"/>
      <c r="N220" s="333"/>
    </row>
    <row r="221" spans="1:14" ht="26.25" customHeight="1" x14ac:dyDescent="0.25">
      <c r="A221" s="327"/>
      <c r="B221" s="332"/>
      <c r="C221" s="333"/>
      <c r="D221" s="60"/>
      <c r="E221" s="333"/>
      <c r="F221" s="334"/>
      <c r="G221" s="333"/>
      <c r="H221" s="4"/>
      <c r="I221" s="4"/>
      <c r="J221" s="2"/>
      <c r="K221" s="2"/>
      <c r="L221" s="60"/>
      <c r="M221" s="3"/>
      <c r="N221" s="333"/>
    </row>
    <row r="222" spans="1:14" ht="27" customHeight="1" x14ac:dyDescent="0.25">
      <c r="A222" s="327"/>
      <c r="B222" s="332"/>
      <c r="C222" s="333"/>
      <c r="D222" s="60"/>
      <c r="E222" s="333"/>
      <c r="F222" s="334"/>
      <c r="G222" s="333"/>
      <c r="H222" s="4"/>
      <c r="I222" s="4"/>
      <c r="J222" s="2"/>
      <c r="K222" s="2"/>
      <c r="L222" s="60"/>
      <c r="M222" s="3"/>
      <c r="N222" s="333"/>
    </row>
    <row r="223" spans="1:14" ht="27" customHeight="1" x14ac:dyDescent="0.25">
      <c r="A223" s="328"/>
      <c r="B223" s="332"/>
      <c r="C223" s="333"/>
      <c r="D223" s="60"/>
      <c r="E223" s="333"/>
      <c r="F223" s="334"/>
      <c r="G223" s="333"/>
      <c r="H223" s="4"/>
      <c r="I223" s="4"/>
      <c r="J223" s="2"/>
      <c r="K223" s="2"/>
      <c r="L223" s="60"/>
      <c r="M223" s="3"/>
      <c r="N223" s="333"/>
    </row>
    <row r="224" spans="1:14" ht="36.75" customHeight="1" x14ac:dyDescent="0.25">
      <c r="A224" s="326"/>
      <c r="B224" s="332"/>
      <c r="C224" s="333"/>
      <c r="D224" s="60"/>
      <c r="E224" s="333"/>
      <c r="F224" s="334"/>
      <c r="G224" s="333"/>
      <c r="H224" s="2"/>
      <c r="I224" s="2"/>
      <c r="J224" s="2"/>
      <c r="K224" s="2"/>
      <c r="L224" s="60"/>
      <c r="M224" s="3"/>
      <c r="N224" s="333"/>
    </row>
    <row r="225" spans="1:14" ht="26.25" customHeight="1" x14ac:dyDescent="0.25">
      <c r="A225" s="327"/>
      <c r="B225" s="332"/>
      <c r="C225" s="333"/>
      <c r="D225" s="60"/>
      <c r="E225" s="333"/>
      <c r="F225" s="334"/>
      <c r="G225" s="333"/>
      <c r="H225" s="5"/>
      <c r="I225" s="5"/>
      <c r="J225" s="5"/>
      <c r="K225" s="5"/>
      <c r="L225" s="60"/>
      <c r="M225" s="3"/>
      <c r="N225" s="333"/>
    </row>
    <row r="226" spans="1:14" ht="28.5" customHeight="1" x14ac:dyDescent="0.25">
      <c r="A226" s="327"/>
      <c r="B226" s="332"/>
      <c r="C226" s="333"/>
      <c r="D226" s="60"/>
      <c r="E226" s="333"/>
      <c r="F226" s="334"/>
      <c r="G226" s="333"/>
      <c r="H226" s="4"/>
      <c r="I226" s="4"/>
      <c r="J226" s="2"/>
      <c r="K226" s="2"/>
      <c r="L226" s="60"/>
      <c r="M226" s="3"/>
      <c r="N226" s="333"/>
    </row>
    <row r="227" spans="1:14" ht="26.25" customHeight="1" x14ac:dyDescent="0.25">
      <c r="A227" s="327"/>
      <c r="B227" s="332"/>
      <c r="C227" s="333"/>
      <c r="D227" s="60"/>
      <c r="E227" s="333"/>
      <c r="F227" s="334"/>
      <c r="G227" s="333"/>
      <c r="H227" s="4"/>
      <c r="I227" s="4"/>
      <c r="J227" s="2"/>
      <c r="K227" s="2"/>
      <c r="L227" s="60"/>
      <c r="M227" s="3"/>
      <c r="N227" s="333"/>
    </row>
    <row r="228" spans="1:14" ht="27" customHeight="1" x14ac:dyDescent="0.25">
      <c r="A228" s="327"/>
      <c r="B228" s="332"/>
      <c r="C228" s="333"/>
      <c r="D228" s="60"/>
      <c r="E228" s="333"/>
      <c r="F228" s="334"/>
      <c r="G228" s="333"/>
      <c r="H228" s="4"/>
      <c r="I228" s="4"/>
      <c r="J228" s="2"/>
      <c r="K228" s="2"/>
      <c r="L228" s="60"/>
      <c r="M228" s="3"/>
      <c r="N228" s="333"/>
    </row>
    <row r="229" spans="1:14" ht="27" customHeight="1" x14ac:dyDescent="0.25">
      <c r="A229" s="328"/>
      <c r="B229" s="332"/>
      <c r="C229" s="333"/>
      <c r="D229" s="60"/>
      <c r="E229" s="333"/>
      <c r="F229" s="334"/>
      <c r="G229" s="333"/>
      <c r="H229" s="4"/>
      <c r="I229" s="4"/>
      <c r="J229" s="2"/>
      <c r="K229" s="2"/>
      <c r="L229" s="60"/>
      <c r="M229" s="3"/>
      <c r="N229" s="333"/>
    </row>
    <row r="230" spans="1:14" ht="36.75" customHeight="1" x14ac:dyDescent="0.25">
      <c r="A230" s="326"/>
      <c r="B230" s="332"/>
      <c r="C230" s="333"/>
      <c r="D230" s="60"/>
      <c r="E230" s="333"/>
      <c r="F230" s="334"/>
      <c r="G230" s="333"/>
      <c r="H230" s="2"/>
      <c r="I230" s="2"/>
      <c r="J230" s="2"/>
      <c r="K230" s="2"/>
      <c r="L230" s="60"/>
      <c r="M230" s="3"/>
      <c r="N230" s="333"/>
    </row>
    <row r="231" spans="1:14" ht="26.25" customHeight="1" x14ac:dyDescent="0.25">
      <c r="A231" s="327"/>
      <c r="B231" s="332"/>
      <c r="C231" s="333"/>
      <c r="D231" s="60"/>
      <c r="E231" s="333"/>
      <c r="F231" s="334"/>
      <c r="G231" s="333"/>
      <c r="H231" s="5"/>
      <c r="I231" s="5"/>
      <c r="J231" s="5"/>
      <c r="K231" s="5"/>
      <c r="L231" s="60"/>
      <c r="M231" s="3"/>
      <c r="N231" s="333"/>
    </row>
    <row r="232" spans="1:14" ht="28.5" customHeight="1" x14ac:dyDescent="0.25">
      <c r="A232" s="327"/>
      <c r="B232" s="332"/>
      <c r="C232" s="333"/>
      <c r="D232" s="60"/>
      <c r="E232" s="333"/>
      <c r="F232" s="334"/>
      <c r="G232" s="333"/>
      <c r="H232" s="4"/>
      <c r="I232" s="4"/>
      <c r="J232" s="2"/>
      <c r="K232" s="2"/>
      <c r="L232" s="60"/>
      <c r="M232" s="3"/>
      <c r="N232" s="333"/>
    </row>
    <row r="233" spans="1:14" ht="26.25" customHeight="1" x14ac:dyDescent="0.25">
      <c r="A233" s="327"/>
      <c r="B233" s="332"/>
      <c r="C233" s="333"/>
      <c r="D233" s="60"/>
      <c r="E233" s="333"/>
      <c r="F233" s="334"/>
      <c r="G233" s="333"/>
      <c r="H233" s="4"/>
      <c r="I233" s="4"/>
      <c r="J233" s="2"/>
      <c r="K233" s="2"/>
      <c r="L233" s="60"/>
      <c r="M233" s="3"/>
      <c r="N233" s="333"/>
    </row>
    <row r="234" spans="1:14" ht="27" customHeight="1" x14ac:dyDescent="0.25">
      <c r="A234" s="327"/>
      <c r="B234" s="332"/>
      <c r="C234" s="333"/>
      <c r="D234" s="60"/>
      <c r="E234" s="333"/>
      <c r="F234" s="334"/>
      <c r="G234" s="333"/>
      <c r="H234" s="4"/>
      <c r="I234" s="4"/>
      <c r="J234" s="2"/>
      <c r="K234" s="2"/>
      <c r="L234" s="60"/>
      <c r="M234" s="3"/>
      <c r="N234" s="333"/>
    </row>
    <row r="235" spans="1:14" ht="27" customHeight="1" x14ac:dyDescent="0.25">
      <c r="A235" s="328"/>
      <c r="B235" s="332"/>
      <c r="C235" s="333"/>
      <c r="D235" s="60"/>
      <c r="E235" s="333"/>
      <c r="F235" s="334"/>
      <c r="G235" s="333"/>
      <c r="H235" s="4"/>
      <c r="I235" s="4"/>
      <c r="J235" s="2"/>
      <c r="K235" s="2"/>
      <c r="L235" s="60"/>
      <c r="M235" s="3"/>
      <c r="N235" s="333"/>
    </row>
    <row r="236" spans="1:14" ht="36.75" customHeight="1" x14ac:dyDescent="0.25">
      <c r="A236" s="326"/>
      <c r="B236" s="332"/>
      <c r="C236" s="333"/>
      <c r="D236" s="60"/>
      <c r="E236" s="333"/>
      <c r="F236" s="334"/>
      <c r="G236" s="333"/>
      <c r="H236" s="2"/>
      <c r="I236" s="2"/>
      <c r="J236" s="2"/>
      <c r="K236" s="2"/>
      <c r="L236" s="60"/>
      <c r="M236" s="3"/>
      <c r="N236" s="333"/>
    </row>
    <row r="237" spans="1:14" ht="26.25" customHeight="1" x14ac:dyDescent="0.25">
      <c r="A237" s="327"/>
      <c r="B237" s="332"/>
      <c r="C237" s="333"/>
      <c r="D237" s="60"/>
      <c r="E237" s="333"/>
      <c r="F237" s="334"/>
      <c r="G237" s="333"/>
      <c r="H237" s="5"/>
      <c r="I237" s="5"/>
      <c r="J237" s="5"/>
      <c r="K237" s="5"/>
      <c r="L237" s="60"/>
      <c r="M237" s="3"/>
      <c r="N237" s="333"/>
    </row>
    <row r="238" spans="1:14" ht="28.5" customHeight="1" x14ac:dyDescent="0.25">
      <c r="A238" s="327"/>
      <c r="B238" s="332"/>
      <c r="C238" s="333"/>
      <c r="D238" s="60"/>
      <c r="E238" s="333"/>
      <c r="F238" s="334"/>
      <c r="G238" s="333"/>
      <c r="H238" s="4"/>
      <c r="I238" s="4"/>
      <c r="J238" s="2"/>
      <c r="K238" s="2"/>
      <c r="L238" s="60"/>
      <c r="M238" s="3"/>
      <c r="N238" s="333"/>
    </row>
    <row r="239" spans="1:14" ht="26.25" customHeight="1" x14ac:dyDescent="0.25">
      <c r="A239" s="327"/>
      <c r="B239" s="332"/>
      <c r="C239" s="333"/>
      <c r="D239" s="60"/>
      <c r="E239" s="333"/>
      <c r="F239" s="334"/>
      <c r="G239" s="333"/>
      <c r="H239" s="4"/>
      <c r="I239" s="4"/>
      <c r="J239" s="2"/>
      <c r="K239" s="2"/>
      <c r="L239" s="60"/>
      <c r="M239" s="3"/>
      <c r="N239" s="333"/>
    </row>
    <row r="240" spans="1:14" ht="27" customHeight="1" x14ac:dyDescent="0.25">
      <c r="A240" s="327"/>
      <c r="B240" s="332"/>
      <c r="C240" s="333"/>
      <c r="D240" s="60"/>
      <c r="E240" s="333"/>
      <c r="F240" s="334"/>
      <c r="G240" s="333"/>
      <c r="H240" s="4"/>
      <c r="I240" s="4"/>
      <c r="J240" s="2"/>
      <c r="K240" s="2"/>
      <c r="L240" s="60"/>
      <c r="M240" s="3"/>
      <c r="N240" s="333"/>
    </row>
    <row r="241" spans="1:14" ht="27" customHeight="1" x14ac:dyDescent="0.25">
      <c r="A241" s="328"/>
      <c r="B241" s="332"/>
      <c r="C241" s="333"/>
      <c r="D241" s="60"/>
      <c r="E241" s="333"/>
      <c r="F241" s="334"/>
      <c r="G241" s="333"/>
      <c r="H241" s="4"/>
      <c r="I241" s="4"/>
      <c r="J241" s="2"/>
      <c r="K241" s="2"/>
      <c r="L241" s="60"/>
      <c r="M241" s="3"/>
      <c r="N241" s="333"/>
    </row>
    <row r="242" spans="1:14" ht="36.75" customHeight="1" x14ac:dyDescent="0.25">
      <c r="A242" s="326"/>
      <c r="B242" s="332"/>
      <c r="C242" s="333"/>
      <c r="D242" s="60"/>
      <c r="E242" s="333"/>
      <c r="F242" s="334"/>
      <c r="G242" s="333"/>
      <c r="H242" s="2"/>
      <c r="I242" s="2"/>
      <c r="J242" s="2"/>
      <c r="K242" s="2"/>
      <c r="L242" s="60"/>
      <c r="M242" s="3"/>
      <c r="N242" s="333"/>
    </row>
    <row r="243" spans="1:14" ht="26.25" customHeight="1" x14ac:dyDescent="0.25">
      <c r="A243" s="327"/>
      <c r="B243" s="332"/>
      <c r="C243" s="333"/>
      <c r="D243" s="60"/>
      <c r="E243" s="333"/>
      <c r="F243" s="334"/>
      <c r="G243" s="333"/>
      <c r="H243" s="5"/>
      <c r="I243" s="5"/>
      <c r="J243" s="5"/>
      <c r="K243" s="5"/>
      <c r="L243" s="60"/>
      <c r="M243" s="3"/>
      <c r="N243" s="333"/>
    </row>
    <row r="244" spans="1:14" ht="28.5" customHeight="1" x14ac:dyDescent="0.25">
      <c r="A244" s="327"/>
      <c r="B244" s="332"/>
      <c r="C244" s="333"/>
      <c r="D244" s="60"/>
      <c r="E244" s="333"/>
      <c r="F244" s="334"/>
      <c r="G244" s="333"/>
      <c r="H244" s="4"/>
      <c r="I244" s="4"/>
      <c r="J244" s="2"/>
      <c r="K244" s="2"/>
      <c r="L244" s="60"/>
      <c r="M244" s="3"/>
      <c r="N244" s="333"/>
    </row>
    <row r="245" spans="1:14" ht="26.25" customHeight="1" x14ac:dyDescent="0.25">
      <c r="A245" s="327"/>
      <c r="B245" s="332"/>
      <c r="C245" s="333"/>
      <c r="D245" s="60"/>
      <c r="E245" s="333"/>
      <c r="F245" s="334"/>
      <c r="G245" s="333"/>
      <c r="H245" s="4"/>
      <c r="I245" s="4"/>
      <c r="J245" s="2"/>
      <c r="K245" s="2"/>
      <c r="L245" s="60"/>
      <c r="M245" s="3"/>
      <c r="N245" s="333"/>
    </row>
    <row r="246" spans="1:14" ht="27" customHeight="1" x14ac:dyDescent="0.25">
      <c r="A246" s="327"/>
      <c r="B246" s="332"/>
      <c r="C246" s="333"/>
      <c r="D246" s="60"/>
      <c r="E246" s="333"/>
      <c r="F246" s="334"/>
      <c r="G246" s="333"/>
      <c r="H246" s="4"/>
      <c r="I246" s="4"/>
      <c r="J246" s="2"/>
      <c r="K246" s="2"/>
      <c r="L246" s="60"/>
      <c r="M246" s="3"/>
      <c r="N246" s="333"/>
    </row>
    <row r="247" spans="1:14" ht="27" customHeight="1" x14ac:dyDescent="0.25">
      <c r="A247" s="328"/>
      <c r="B247" s="332"/>
      <c r="C247" s="333"/>
      <c r="D247" s="60"/>
      <c r="E247" s="333"/>
      <c r="F247" s="334"/>
      <c r="G247" s="333"/>
      <c r="H247" s="4"/>
      <c r="I247" s="4"/>
      <c r="J247" s="2"/>
      <c r="K247" s="2"/>
      <c r="L247" s="60"/>
      <c r="M247" s="3"/>
      <c r="N247" s="333"/>
    </row>
    <row r="248" spans="1:14" ht="36.75" customHeight="1" x14ac:dyDescent="0.25">
      <c r="A248" s="326"/>
      <c r="B248" s="332"/>
      <c r="C248" s="333"/>
      <c r="D248" s="60"/>
      <c r="E248" s="333"/>
      <c r="F248" s="334"/>
      <c r="G248" s="333"/>
      <c r="H248" s="2"/>
      <c r="I248" s="2"/>
      <c r="J248" s="2"/>
      <c r="K248" s="2"/>
      <c r="L248" s="60"/>
      <c r="M248" s="3"/>
      <c r="N248" s="333"/>
    </row>
    <row r="249" spans="1:14" ht="26.25" customHeight="1" x14ac:dyDescent="0.25">
      <c r="A249" s="327"/>
      <c r="B249" s="332"/>
      <c r="C249" s="333"/>
      <c r="D249" s="60"/>
      <c r="E249" s="333"/>
      <c r="F249" s="334"/>
      <c r="G249" s="333"/>
      <c r="H249" s="5"/>
      <c r="I249" s="5"/>
      <c r="J249" s="5"/>
      <c r="K249" s="5"/>
      <c r="L249" s="60"/>
      <c r="M249" s="3"/>
      <c r="N249" s="333"/>
    </row>
    <row r="250" spans="1:14" ht="28.5" customHeight="1" x14ac:dyDescent="0.25">
      <c r="A250" s="327"/>
      <c r="B250" s="332"/>
      <c r="C250" s="333"/>
      <c r="D250" s="60"/>
      <c r="E250" s="333"/>
      <c r="F250" s="334"/>
      <c r="G250" s="333"/>
      <c r="H250" s="4"/>
      <c r="I250" s="4"/>
      <c r="J250" s="2"/>
      <c r="K250" s="2"/>
      <c r="L250" s="60"/>
      <c r="M250" s="3"/>
      <c r="N250" s="333"/>
    </row>
    <row r="251" spans="1:14" ht="26.25" customHeight="1" x14ac:dyDescent="0.25">
      <c r="A251" s="327"/>
      <c r="B251" s="332"/>
      <c r="C251" s="333"/>
      <c r="D251" s="60"/>
      <c r="E251" s="333"/>
      <c r="F251" s="334"/>
      <c r="G251" s="333"/>
      <c r="H251" s="4"/>
      <c r="I251" s="4"/>
      <c r="J251" s="2"/>
      <c r="K251" s="2"/>
      <c r="L251" s="60"/>
      <c r="M251" s="3"/>
      <c r="N251" s="333"/>
    </row>
    <row r="252" spans="1:14" ht="27" customHeight="1" x14ac:dyDescent="0.25">
      <c r="A252" s="327"/>
      <c r="B252" s="332"/>
      <c r="C252" s="333"/>
      <c r="D252" s="60"/>
      <c r="E252" s="333"/>
      <c r="F252" s="334"/>
      <c r="G252" s="333"/>
      <c r="H252" s="4"/>
      <c r="I252" s="4"/>
      <c r="J252" s="2"/>
      <c r="K252" s="2"/>
      <c r="L252" s="60"/>
      <c r="M252" s="3"/>
      <c r="N252" s="333"/>
    </row>
    <row r="253" spans="1:14" ht="27" customHeight="1" x14ac:dyDescent="0.25">
      <c r="A253" s="328"/>
      <c r="B253" s="332"/>
      <c r="C253" s="333"/>
      <c r="D253" s="60"/>
      <c r="E253" s="333"/>
      <c r="F253" s="334"/>
      <c r="G253" s="333"/>
      <c r="H253" s="4"/>
      <c r="I253" s="4"/>
      <c r="J253" s="2"/>
      <c r="K253" s="2"/>
      <c r="L253" s="60"/>
      <c r="M253" s="3"/>
      <c r="N253" s="333"/>
    </row>
    <row r="254" spans="1:14" ht="36.75" customHeight="1" x14ac:dyDescent="0.25">
      <c r="A254" s="326"/>
      <c r="B254" s="332"/>
      <c r="C254" s="333"/>
      <c r="D254" s="60"/>
      <c r="E254" s="333"/>
      <c r="F254" s="334"/>
      <c r="G254" s="333"/>
      <c r="H254" s="2"/>
      <c r="I254" s="2"/>
      <c r="J254" s="2"/>
      <c r="K254" s="2"/>
      <c r="L254" s="60"/>
      <c r="M254" s="3"/>
      <c r="N254" s="333"/>
    </row>
    <row r="255" spans="1:14" ht="26.25" customHeight="1" x14ac:dyDescent="0.25">
      <c r="A255" s="327"/>
      <c r="B255" s="332"/>
      <c r="C255" s="333"/>
      <c r="D255" s="60"/>
      <c r="E255" s="333"/>
      <c r="F255" s="334"/>
      <c r="G255" s="333"/>
      <c r="H255" s="5"/>
      <c r="I255" s="5"/>
      <c r="J255" s="5"/>
      <c r="K255" s="5"/>
      <c r="L255" s="60"/>
      <c r="M255" s="3"/>
      <c r="N255" s="333"/>
    </row>
    <row r="256" spans="1:14" ht="28.5" customHeight="1" x14ac:dyDescent="0.25">
      <c r="A256" s="327"/>
      <c r="B256" s="332"/>
      <c r="C256" s="333"/>
      <c r="D256" s="60"/>
      <c r="E256" s="333"/>
      <c r="F256" s="334"/>
      <c r="G256" s="333"/>
      <c r="H256" s="4"/>
      <c r="I256" s="4"/>
      <c r="J256" s="2"/>
      <c r="K256" s="2"/>
      <c r="L256" s="60"/>
      <c r="M256" s="3"/>
      <c r="N256" s="333"/>
    </row>
    <row r="257" spans="1:14" ht="26.25" customHeight="1" x14ac:dyDescent="0.25">
      <c r="A257" s="327"/>
      <c r="B257" s="332"/>
      <c r="C257" s="333"/>
      <c r="D257" s="60"/>
      <c r="E257" s="333"/>
      <c r="F257" s="334"/>
      <c r="G257" s="333"/>
      <c r="H257" s="4"/>
      <c r="I257" s="4"/>
      <c r="J257" s="2"/>
      <c r="K257" s="2"/>
      <c r="L257" s="60"/>
      <c r="M257" s="3"/>
      <c r="N257" s="333"/>
    </row>
    <row r="258" spans="1:14" ht="27" customHeight="1" x14ac:dyDescent="0.25">
      <c r="A258" s="327"/>
      <c r="B258" s="332"/>
      <c r="C258" s="333"/>
      <c r="D258" s="60"/>
      <c r="E258" s="333"/>
      <c r="F258" s="334"/>
      <c r="G258" s="333"/>
      <c r="H258" s="4"/>
      <c r="I258" s="4"/>
      <c r="J258" s="2"/>
      <c r="K258" s="2"/>
      <c r="L258" s="60"/>
      <c r="M258" s="3"/>
      <c r="N258" s="333"/>
    </row>
    <row r="259" spans="1:14" ht="27" customHeight="1" x14ac:dyDescent="0.25">
      <c r="A259" s="328"/>
      <c r="B259" s="332"/>
      <c r="C259" s="333"/>
      <c r="D259" s="60"/>
      <c r="E259" s="333"/>
      <c r="F259" s="334"/>
      <c r="G259" s="333"/>
      <c r="H259" s="4"/>
      <c r="I259" s="4"/>
      <c r="J259" s="2"/>
      <c r="K259" s="2"/>
      <c r="L259" s="60"/>
      <c r="M259" s="3"/>
      <c r="N259" s="333"/>
    </row>
    <row r="260" spans="1:14" ht="36.75" customHeight="1" x14ac:dyDescent="0.25">
      <c r="A260" s="326"/>
      <c r="B260" s="332"/>
      <c r="C260" s="333"/>
      <c r="D260" s="60"/>
      <c r="E260" s="333"/>
      <c r="F260" s="334"/>
      <c r="G260" s="333"/>
      <c r="H260" s="2"/>
      <c r="I260" s="2"/>
      <c r="J260" s="2"/>
      <c r="K260" s="2"/>
      <c r="L260" s="60"/>
      <c r="M260" s="3"/>
      <c r="N260" s="333"/>
    </row>
    <row r="261" spans="1:14" ht="26.25" customHeight="1" x14ac:dyDescent="0.25">
      <c r="A261" s="327"/>
      <c r="B261" s="332"/>
      <c r="C261" s="333"/>
      <c r="D261" s="60"/>
      <c r="E261" s="333"/>
      <c r="F261" s="334"/>
      <c r="G261" s="333"/>
      <c r="H261" s="5"/>
      <c r="I261" s="5"/>
      <c r="J261" s="5"/>
      <c r="K261" s="5"/>
      <c r="L261" s="60"/>
      <c r="M261" s="3"/>
      <c r="N261" s="333"/>
    </row>
    <row r="262" spans="1:14" ht="28.5" customHeight="1" x14ac:dyDescent="0.25">
      <c r="A262" s="327"/>
      <c r="B262" s="332"/>
      <c r="C262" s="333"/>
      <c r="D262" s="60"/>
      <c r="E262" s="333"/>
      <c r="F262" s="334"/>
      <c r="G262" s="333"/>
      <c r="H262" s="4"/>
      <c r="I262" s="4"/>
      <c r="J262" s="2"/>
      <c r="K262" s="2"/>
      <c r="L262" s="60"/>
      <c r="M262" s="3"/>
      <c r="N262" s="333"/>
    </row>
    <row r="263" spans="1:14" ht="26.25" customHeight="1" x14ac:dyDescent="0.25">
      <c r="A263" s="327"/>
      <c r="B263" s="332"/>
      <c r="C263" s="333"/>
      <c r="D263" s="60"/>
      <c r="E263" s="333"/>
      <c r="F263" s="334"/>
      <c r="G263" s="333"/>
      <c r="H263" s="4"/>
      <c r="I263" s="4"/>
      <c r="J263" s="2"/>
      <c r="K263" s="2"/>
      <c r="L263" s="60"/>
      <c r="M263" s="3"/>
      <c r="N263" s="333"/>
    </row>
    <row r="264" spans="1:14" ht="27" customHeight="1" x14ac:dyDescent="0.25">
      <c r="A264" s="327"/>
      <c r="B264" s="332"/>
      <c r="C264" s="333"/>
      <c r="D264" s="60"/>
      <c r="E264" s="333"/>
      <c r="F264" s="334"/>
      <c r="G264" s="333"/>
      <c r="H264" s="4"/>
      <c r="I264" s="4"/>
      <c r="J264" s="2"/>
      <c r="K264" s="2"/>
      <c r="L264" s="60"/>
      <c r="M264" s="3"/>
      <c r="N264" s="333"/>
    </row>
    <row r="265" spans="1:14" ht="27" customHeight="1" x14ac:dyDescent="0.25">
      <c r="A265" s="328"/>
      <c r="B265" s="332"/>
      <c r="C265" s="333"/>
      <c r="D265" s="60"/>
      <c r="E265" s="333"/>
      <c r="F265" s="334"/>
      <c r="G265" s="333"/>
      <c r="H265" s="4"/>
      <c r="I265" s="4"/>
      <c r="J265" s="2"/>
      <c r="K265" s="2"/>
      <c r="L265" s="60"/>
      <c r="M265" s="3"/>
      <c r="N265" s="333"/>
    </row>
  </sheetData>
  <mergeCells count="301">
    <mergeCell ref="A200:A205"/>
    <mergeCell ref="A206:A211"/>
    <mergeCell ref="A212:A217"/>
    <mergeCell ref="A218:A223"/>
    <mergeCell ref="A224:A229"/>
    <mergeCell ref="B212:B217"/>
    <mergeCell ref="C212:C217"/>
    <mergeCell ref="E212:E217"/>
    <mergeCell ref="F212:F217"/>
    <mergeCell ref="E200:E205"/>
    <mergeCell ref="F200:F205"/>
    <mergeCell ref="E206:E211"/>
    <mergeCell ref="F206:F211"/>
    <mergeCell ref="B200:B205"/>
    <mergeCell ref="B194:B199"/>
    <mergeCell ref="C194:C199"/>
    <mergeCell ref="C133:C138"/>
    <mergeCell ref="B139:B144"/>
    <mergeCell ref="C139:C144"/>
    <mergeCell ref="B145:B149"/>
    <mergeCell ref="G179:G183"/>
    <mergeCell ref="N179:N183"/>
    <mergeCell ref="A173:A178"/>
    <mergeCell ref="A194:A199"/>
    <mergeCell ref="C155:C160"/>
    <mergeCell ref="G161:G166"/>
    <mergeCell ref="N161:N166"/>
    <mergeCell ref="E133:E138"/>
    <mergeCell ref="F133:F138"/>
    <mergeCell ref="G133:G138"/>
    <mergeCell ref="N133:N138"/>
    <mergeCell ref="E139:E144"/>
    <mergeCell ref="F139:F144"/>
    <mergeCell ref="G139:G144"/>
    <mergeCell ref="N139:N144"/>
    <mergeCell ref="G155:G160"/>
    <mergeCell ref="N155:N160"/>
    <mergeCell ref="A139:A144"/>
    <mergeCell ref="A31:A39"/>
    <mergeCell ref="B150:B154"/>
    <mergeCell ref="C150:C154"/>
    <mergeCell ref="E150:E154"/>
    <mergeCell ref="N150:N154"/>
    <mergeCell ref="F150:F154"/>
    <mergeCell ref="G150:G154"/>
    <mergeCell ref="A150:A154"/>
    <mergeCell ref="B179:B183"/>
    <mergeCell ref="A179:A183"/>
    <mergeCell ref="C179:C183"/>
    <mergeCell ref="E179:E183"/>
    <mergeCell ref="F179:F183"/>
    <mergeCell ref="B102:B107"/>
    <mergeCell ref="C102:C107"/>
    <mergeCell ref="B167:B172"/>
    <mergeCell ref="C167:C172"/>
    <mergeCell ref="B173:B178"/>
    <mergeCell ref="C173:C178"/>
    <mergeCell ref="B108:B113"/>
    <mergeCell ref="C108:C113"/>
    <mergeCell ref="B161:B166"/>
    <mergeCell ref="C161:C166"/>
    <mergeCell ref="B155:B160"/>
    <mergeCell ref="C114:C119"/>
    <mergeCell ref="B121:B126"/>
    <mergeCell ref="C121:C126"/>
    <mergeCell ref="B127:B132"/>
    <mergeCell ref="C127:C132"/>
    <mergeCell ref="B133:B138"/>
    <mergeCell ref="B40:B45"/>
    <mergeCell ref="B27:B30"/>
    <mergeCell ref="C27:C30"/>
    <mergeCell ref="C31:C36"/>
    <mergeCell ref="C40:C45"/>
    <mergeCell ref="B46:B51"/>
    <mergeCell ref="C46:C51"/>
    <mergeCell ref="B52:B57"/>
    <mergeCell ref="C52:C57"/>
    <mergeCell ref="B35:B39"/>
    <mergeCell ref="B71:B76"/>
    <mergeCell ref="C71:C76"/>
    <mergeCell ref="B2:B7"/>
    <mergeCell ref="E2:E7"/>
    <mergeCell ref="F2:F7"/>
    <mergeCell ref="G2:G7"/>
    <mergeCell ref="E8:E13"/>
    <mergeCell ref="F8:F13"/>
    <mergeCell ref="G8:G13"/>
    <mergeCell ref="B14:B19"/>
    <mergeCell ref="B20:B26"/>
    <mergeCell ref="C20:C26"/>
    <mergeCell ref="B8:B13"/>
    <mergeCell ref="C14:C19"/>
    <mergeCell ref="C8:C13"/>
    <mergeCell ref="N8:N13"/>
    <mergeCell ref="N2:N7"/>
    <mergeCell ref="E14:E19"/>
    <mergeCell ref="F14:F19"/>
    <mergeCell ref="G14:G19"/>
    <mergeCell ref="E20:E26"/>
    <mergeCell ref="F20:F26"/>
    <mergeCell ref="G20:G26"/>
    <mergeCell ref="C2:C7"/>
    <mergeCell ref="N20:N26"/>
    <mergeCell ref="N14:N19"/>
    <mergeCell ref="N27:N30"/>
    <mergeCell ref="E31:E36"/>
    <mergeCell ref="F31:F36"/>
    <mergeCell ref="G31:G36"/>
    <mergeCell ref="E40:E45"/>
    <mergeCell ref="F40:F45"/>
    <mergeCell ref="G40:G45"/>
    <mergeCell ref="N40:N45"/>
    <mergeCell ref="E27:E30"/>
    <mergeCell ref="F27:F30"/>
    <mergeCell ref="G27:G30"/>
    <mergeCell ref="N31:N39"/>
    <mergeCell ref="E46:E51"/>
    <mergeCell ref="F46:F51"/>
    <mergeCell ref="G46:G51"/>
    <mergeCell ref="N46:N51"/>
    <mergeCell ref="E102:E107"/>
    <mergeCell ref="F102:F107"/>
    <mergeCell ref="G102:G107"/>
    <mergeCell ref="N102:N107"/>
    <mergeCell ref="E52:E57"/>
    <mergeCell ref="F52:F57"/>
    <mergeCell ref="G52:G57"/>
    <mergeCell ref="N52:N57"/>
    <mergeCell ref="E71:E76"/>
    <mergeCell ref="F71:F76"/>
    <mergeCell ref="G71:G76"/>
    <mergeCell ref="F145:F149"/>
    <mergeCell ref="G145:G149"/>
    <mergeCell ref="N145:N149"/>
    <mergeCell ref="E194:E199"/>
    <mergeCell ref="F194:F199"/>
    <mergeCell ref="G194:G199"/>
    <mergeCell ref="N194:N199"/>
    <mergeCell ref="E184:E193"/>
    <mergeCell ref="F184:F193"/>
    <mergeCell ref="G184:G193"/>
    <mergeCell ref="N184:N193"/>
    <mergeCell ref="E173:E178"/>
    <mergeCell ref="F173:F178"/>
    <mergeCell ref="G173:G178"/>
    <mergeCell ref="N173:N178"/>
    <mergeCell ref="E167:E172"/>
    <mergeCell ref="F167:F172"/>
    <mergeCell ref="G167:G172"/>
    <mergeCell ref="N167:N172"/>
    <mergeCell ref="E161:E166"/>
    <mergeCell ref="F161:F166"/>
    <mergeCell ref="A58:A63"/>
    <mergeCell ref="B58:B63"/>
    <mergeCell ref="C58:C63"/>
    <mergeCell ref="E58:E63"/>
    <mergeCell ref="F58:F63"/>
    <mergeCell ref="G58:G63"/>
    <mergeCell ref="N58:N63"/>
    <mergeCell ref="B64:B70"/>
    <mergeCell ref="C64:C70"/>
    <mergeCell ref="E64:E70"/>
    <mergeCell ref="F64:F70"/>
    <mergeCell ref="G64:G70"/>
    <mergeCell ref="N64:N70"/>
    <mergeCell ref="E127:E132"/>
    <mergeCell ref="F127:F132"/>
    <mergeCell ref="N71:N76"/>
    <mergeCell ref="B77:B82"/>
    <mergeCell ref="C77:C82"/>
    <mergeCell ref="E77:E82"/>
    <mergeCell ref="F77:F82"/>
    <mergeCell ref="G77:G82"/>
    <mergeCell ref="N77:N82"/>
    <mergeCell ref="G127:G132"/>
    <mergeCell ref="N127:N132"/>
    <mergeCell ref="E108:E113"/>
    <mergeCell ref="F108:F113"/>
    <mergeCell ref="G108:G113"/>
    <mergeCell ref="N108:N113"/>
    <mergeCell ref="E114:E119"/>
    <mergeCell ref="F114:F119"/>
    <mergeCell ref="G114:G119"/>
    <mergeCell ref="N114:N119"/>
    <mergeCell ref="E121:E126"/>
    <mergeCell ref="F121:F126"/>
    <mergeCell ref="G121:G126"/>
    <mergeCell ref="N121:N126"/>
    <mergeCell ref="B114:B119"/>
    <mergeCell ref="A83:A88"/>
    <mergeCell ref="B83:B88"/>
    <mergeCell ref="C83:C88"/>
    <mergeCell ref="E83:E88"/>
    <mergeCell ref="F83:F88"/>
    <mergeCell ref="G83:G88"/>
    <mergeCell ref="N83:N88"/>
    <mergeCell ref="E90:E95"/>
    <mergeCell ref="F90:F95"/>
    <mergeCell ref="G90:G95"/>
    <mergeCell ref="N90:N95"/>
    <mergeCell ref="A96:A101"/>
    <mergeCell ref="B96:B101"/>
    <mergeCell ref="C96:C101"/>
    <mergeCell ref="E96:E101"/>
    <mergeCell ref="F96:F101"/>
    <mergeCell ref="G96:G101"/>
    <mergeCell ref="N96:N101"/>
    <mergeCell ref="B90:B95"/>
    <mergeCell ref="C90:C95"/>
    <mergeCell ref="A90:A95"/>
    <mergeCell ref="G224:G229"/>
    <mergeCell ref="N224:N229"/>
    <mergeCell ref="B230:B235"/>
    <mergeCell ref="C230:C235"/>
    <mergeCell ref="E230:E235"/>
    <mergeCell ref="F230:F235"/>
    <mergeCell ref="G230:G235"/>
    <mergeCell ref="N230:N235"/>
    <mergeCell ref="C200:C205"/>
    <mergeCell ref="B206:B211"/>
    <mergeCell ref="C206:C211"/>
    <mergeCell ref="B218:B223"/>
    <mergeCell ref="C218:C223"/>
    <mergeCell ref="E218:E223"/>
    <mergeCell ref="F218:F223"/>
    <mergeCell ref="G218:G223"/>
    <mergeCell ref="N218:N223"/>
    <mergeCell ref="G212:G217"/>
    <mergeCell ref="N212:N217"/>
    <mergeCell ref="G200:G205"/>
    <mergeCell ref="N200:N205"/>
    <mergeCell ref="G206:G211"/>
    <mergeCell ref="N206:N211"/>
    <mergeCell ref="G248:G253"/>
    <mergeCell ref="N248:N253"/>
    <mergeCell ref="B254:B259"/>
    <mergeCell ref="C254:C259"/>
    <mergeCell ref="E254:E259"/>
    <mergeCell ref="F254:F259"/>
    <mergeCell ref="G254:G259"/>
    <mergeCell ref="N254:N259"/>
    <mergeCell ref="B236:B241"/>
    <mergeCell ref="C236:C241"/>
    <mergeCell ref="E236:E241"/>
    <mergeCell ref="F236:F241"/>
    <mergeCell ref="G236:G241"/>
    <mergeCell ref="N236:N241"/>
    <mergeCell ref="B242:B247"/>
    <mergeCell ref="C242:C247"/>
    <mergeCell ref="E242:E247"/>
    <mergeCell ref="F242:F247"/>
    <mergeCell ref="G242:G247"/>
    <mergeCell ref="N242:N247"/>
    <mergeCell ref="G260:G265"/>
    <mergeCell ref="N260:N265"/>
    <mergeCell ref="A2:A7"/>
    <mergeCell ref="A8:A13"/>
    <mergeCell ref="A14:A19"/>
    <mergeCell ref="A20:A26"/>
    <mergeCell ref="A27:A30"/>
    <mergeCell ref="A40:A45"/>
    <mergeCell ref="A46:A51"/>
    <mergeCell ref="A184:A193"/>
    <mergeCell ref="A77:A82"/>
    <mergeCell ref="A64:A70"/>
    <mergeCell ref="A52:A57"/>
    <mergeCell ref="A71:A76"/>
    <mergeCell ref="A102:A107"/>
    <mergeCell ref="A108:A113"/>
    <mergeCell ref="A114:A119"/>
    <mergeCell ref="A121:A126"/>
    <mergeCell ref="A127:A132"/>
    <mergeCell ref="A133:A138"/>
    <mergeCell ref="B248:B253"/>
    <mergeCell ref="C248:C253"/>
    <mergeCell ref="E248:E253"/>
    <mergeCell ref="F248:F253"/>
    <mergeCell ref="A145:A149"/>
    <mergeCell ref="A155:A160"/>
    <mergeCell ref="A161:A166"/>
    <mergeCell ref="A167:A172"/>
    <mergeCell ref="B260:B265"/>
    <mergeCell ref="C260:C265"/>
    <mergeCell ref="E260:E265"/>
    <mergeCell ref="F260:F265"/>
    <mergeCell ref="B224:B229"/>
    <mergeCell ref="C224:C229"/>
    <mergeCell ref="E224:E229"/>
    <mergeCell ref="F224:F229"/>
    <mergeCell ref="E155:E160"/>
    <mergeCell ref="F155:F160"/>
    <mergeCell ref="C145:C149"/>
    <mergeCell ref="A236:A241"/>
    <mergeCell ref="A242:A247"/>
    <mergeCell ref="A248:A253"/>
    <mergeCell ref="A254:A259"/>
    <mergeCell ref="A260:A265"/>
    <mergeCell ref="A230:A235"/>
    <mergeCell ref="B184:B193"/>
    <mergeCell ref="C184:C193"/>
    <mergeCell ref="E145:E149"/>
  </mergeCells>
  <pageMargins left="0" right="0" top="0.19685039370078741" bottom="0" header="0.11811023622047245" footer="0"/>
  <pageSetup paperSize="8" scale="82" fitToHeight="0" orientation="landscape" r:id="rId1"/>
  <rowBreaks count="7" manualBreakCount="7">
    <brk id="30" max="16383" man="1"/>
    <brk id="57" max="16383" man="1"/>
    <brk id="89" max="16383" man="1"/>
    <brk id="120" max="16383" man="1"/>
    <brk id="144" max="16383" man="1"/>
    <brk id="168" max="16383" man="1"/>
    <brk id="199" max="16383" man="1"/>
  </rowBreaks>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C5D29784-5598-4DAC-AEB3-3FA58DBF373A}">
          <x14:formula1>
            <xm:f>Tabelle1!$A$50:$A$54</xm:f>
          </x14:formula1>
          <xm:sqref>E2 E40 E102 E167 E108 E173 E27 E90 E161 E114 E155 E139 E121 E145 E14 E20 E8 E31 E96 E133 E127 E46 E64:E65 E71 E52 E58 E77 E83 E212 E218 E224 E230 E236 E242 E248 E254 E260</xm:sqref>
        </x14:dataValidation>
        <x14:dataValidation type="list" allowBlank="1" showInputMessage="1" showErrorMessage="1" xr:uid="{FDE2FA1F-C3A8-44D0-A009-027FA4580ECA}">
          <x14:formula1>
            <xm:f>Tabelle1!$A$38:$A$39</xm:f>
          </x14:formula1>
          <xm:sqref>F2:G2 F260:G260 F254:G254 F248:G248 F242:G242 F236:G236 F230:G230 F224:G224 F218:G218 F212:G212 F161:G161 F83:G83 F71:G71 F64:G65 F52:G52 F77:G77 F58:G58 F46:G46 F206:G206 F8:G8 F20:G20 F14:G14 F31:G31 F40:G40 F102:G102 F167:G167 F108:G108 F173:G173 F27:G27 F90:G90 F114:G114 F155:G155 F139:G139 F121:G121 F145:G145 F200:G200 F184:G184 F194:G194 F96:G96 F133:G133 F127:G127 F150:G150</xm:sqref>
        </x14:dataValidation>
        <x14:dataValidation type="list" allowBlank="1" showInputMessage="1" showErrorMessage="1" xr:uid="{EA759BCB-2E62-45EA-A1A8-EA027B4A9056}">
          <x14:formula1>
            <xm:f>Tabelle1!$A$49:$A$54</xm:f>
          </x14:formula1>
          <xm:sqref>E184:E211</xm:sqref>
        </x14:dataValidation>
        <x14:dataValidation type="list" allowBlank="1" showInputMessage="1" showErrorMessage="1" xr:uid="{59C58828-4D2C-41B2-9140-FAF807D6427A}">
          <x14:formula1>
            <xm:f>Tabelle1!$A$43:$A$44</xm:f>
          </x14:formula1>
          <xm:sqref>C2:C150 C155:C179 C184:C265</xm:sqref>
        </x14:dataValidation>
        <x14:dataValidation type="list" allowBlank="1" showInputMessage="1" showErrorMessage="1" xr:uid="{54DA5EAF-3FF8-49CD-B620-31024836BCDB}">
          <x14:formula1>
            <xm:f>Tabelle1!$A$2:$A$5</xm:f>
          </x14:formula1>
          <xm:sqref>D2:D265</xm:sqref>
        </x14:dataValidation>
        <x14:dataValidation type="list" allowBlank="1" showInputMessage="1" showErrorMessage="1" xr:uid="{E0459BDB-76BE-45FB-B9B8-64953AAC1EA1}">
          <x14:formula1>
            <xm:f>Tabelle1!$A$11:$A$33</xm:f>
          </x14:formula1>
          <xm:sqref>I194:I351 H194:H265 J194:K265 H2:K193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7FF8-2311-4C4A-A1DF-A4D0860CD87D}">
  <sheetPr codeName="Tabelle1">
    <pageSetUpPr fitToPage="1"/>
  </sheetPr>
  <dimension ref="A1:BQ222"/>
  <sheetViews>
    <sheetView tabSelected="1" zoomScale="90" zoomScaleNormal="90" zoomScaleSheetLayoutView="85" workbookViewId="0">
      <pane ySplit="1" topLeftCell="A2" activePane="bottomLeft" state="frozen"/>
      <selection pane="bottomLeft" activeCell="C129" sqref="C129"/>
    </sheetView>
  </sheetViews>
  <sheetFormatPr baseColWidth="10" defaultColWidth="11.42578125" defaultRowHeight="15" x14ac:dyDescent="0.25"/>
  <cols>
    <col min="1" max="1" width="7.5703125" customWidth="1"/>
    <col min="2" max="2" width="22.85546875" style="1" customWidth="1"/>
    <col min="3" max="3" width="20.5703125" style="1" customWidth="1"/>
    <col min="4" max="4" width="61.42578125" customWidth="1"/>
    <col min="5" max="5" width="27.7109375" customWidth="1"/>
    <col min="6" max="6" width="23.7109375" style="1" customWidth="1"/>
    <col min="7" max="7" width="21.7109375" customWidth="1"/>
    <col min="8" max="8" width="18.42578125" style="1" customWidth="1"/>
    <col min="9" max="9" width="27.28515625" customWidth="1"/>
    <col min="10" max="10" width="33" customWidth="1"/>
    <col min="11" max="11" width="22" customWidth="1"/>
    <col min="12" max="12" width="14" customWidth="1"/>
    <col min="13" max="13" width="20" customWidth="1"/>
    <col min="14" max="14" width="10" customWidth="1"/>
    <col min="15" max="15" width="60" customWidth="1"/>
    <col min="16" max="16" width="28" customWidth="1"/>
  </cols>
  <sheetData>
    <row r="1" ht="64.900000000000006" customHeight="1" x14ac:dyDescent="0.25">
      <c r="A1" s="152" t="s">
        <v>34</v>
      </c>
      <c r="B1" s="62" t="s">
        <v>155</v>
      </c>
      <c r="C1" s="62" t="s">
        <v>156</v>
      </c>
      <c r="D1" s="61" t="s">
        <v>157</v>
      </c>
      <c r="E1" s="62" t="s">
        <v>158</v>
      </c>
      <c r="F1" s="62" t="s">
        <v>159</v>
      </c>
      <c r="G1" s="61" t="s">
        <v>160</v>
      </c>
      <c r="H1" s="118" t="s">
        <v>161</v>
      </c>
      <c r="I1" s="119" t="s">
        <v>162</v>
      </c>
      <c r="J1" s="62" t="s">
        <v>163</v>
      </c>
      <c r="K1" s="542" t="inlineStr">
        <is>
          <t xml:space="preserve">Befund Abgleich Kalender</t>
        </is>
      </c>
      <c r="L1" s="542" t="inlineStr">
        <is>
          <t xml:space="preserve">Kalender: Dauer</t>
        </is>
      </c>
      <c r="M1" s="542" t="inlineStr">
        <is>
          <t xml:space="preserve">Kalender: Rhythmus</t>
        </is>
      </c>
      <c r="N1" s="542" t="inlineStr">
        <is>
          <t xml:space="preserve">Kalender: Termine</t>
        </is>
      </c>
      <c r="O1" s="542" t="inlineStr">
        <is>
          <t xml:space="preserve">Abweichung / Hinweis (Abgleich)</t>
        </is>
      </c>
      <c r="P1" s="542" t="inlineStr">
        <is>
          <t xml:space="preserve">Entscheidung Fritsch</t>
        </is>
      </c>
    </row>
    <row r="2" ht="30" x14ac:dyDescent="0.25">
      <c r="A2" s="326">
        <v>1</v>
      </c>
      <c r="B2" s="393" t="s">
        <v>164</v>
      </c>
      <c r="C2" s="412" t="s">
        <v>165</v>
      </c>
      <c r="D2" s="459" t="s">
        <v>166</v>
      </c>
      <c r="E2" s="22" t="s">
        <v>174</v>
      </c>
      <c r="F2" s="40" t="s">
        <v>167</v>
      </c>
      <c r="G2" s="22" t="s">
        <v>168</v>
      </c>
      <c r="H2" s="40" t="s">
        <v>169</v>
      </c>
      <c r="I2" s="40" t="s">
        <v>170</v>
      </c>
      <c r="J2" s="368" t="s">
        <v>171</v>
      </c>
      <c r="K2" s="550" t="inlineStr">
        <is>
          <t xml:space="preserve">ohne GF</t>
        </is>
      </c>
      <c r="L2" s="543" t="inlineStr">
        <is>
          <t xml:space="preserve">—</t>
        </is>
      </c>
      <c r="M2" s="543" t="inlineStr">
        <is>
          <t xml:space="preserve">—</t>
        </is>
      </c>
      <c r="N2" s="543" t="inlineStr">
        <is>
          <t xml:space="preserve">—</t>
        </is>
      </c>
      <c r="O2" s="543"/>
      <c r="P2" s="543" t="inlineStr">
        <is>
          <t xml:space="preserve">—</t>
        </is>
      </c>
    </row>
    <row r="3" x14ac:dyDescent="0.25">
      <c r="A3" s="327"/>
      <c r="B3" s="393"/>
      <c r="C3" s="413"/>
      <c r="D3" s="459"/>
      <c r="E3" s="22"/>
      <c r="F3" s="40"/>
      <c r="G3" s="22"/>
      <c r="H3" s="40"/>
      <c r="I3" s="23"/>
      <c r="J3" s="368"/>
      <c r="K3" s="550"/>
      <c r="L3" s="543"/>
      <c r="M3" s="543"/>
      <c r="N3" s="543"/>
      <c r="O3" s="543"/>
      <c r="P3" s="543"/>
    </row>
    <row r="4" x14ac:dyDescent="0.25">
      <c r="A4" s="327"/>
      <c r="B4" s="393"/>
      <c r="C4" s="413"/>
      <c r="D4" s="459"/>
      <c r="E4" s="22"/>
      <c r="F4" s="40"/>
      <c r="G4" s="22"/>
      <c r="H4" s="40"/>
      <c r="I4" s="23"/>
      <c r="J4" s="368"/>
      <c r="K4" s="550"/>
      <c r="L4" s="543"/>
      <c r="M4" s="543"/>
      <c r="N4" s="543"/>
      <c r="O4" s="543"/>
      <c r="P4" s="543"/>
    </row>
    <row r="5" x14ac:dyDescent="0.25">
      <c r="A5" s="327"/>
      <c r="B5" s="393"/>
      <c r="C5" s="413"/>
      <c r="D5" s="459"/>
      <c r="E5" s="22"/>
      <c r="F5" s="40"/>
      <c r="G5" s="22"/>
      <c r="H5" s="40"/>
      <c r="I5" s="23"/>
      <c r="J5" s="368"/>
      <c r="K5" s="550"/>
      <c r="L5" s="543"/>
      <c r="M5" s="543"/>
      <c r="N5" s="543"/>
      <c r="O5" s="543"/>
      <c r="P5" s="543"/>
    </row>
    <row r="6" ht="102" customHeight="1" x14ac:dyDescent="0.25">
      <c r="A6" s="328"/>
      <c r="B6" s="394"/>
      <c r="C6" s="414"/>
      <c r="D6" s="460"/>
      <c r="E6" s="22"/>
      <c r="F6" s="40"/>
      <c r="G6" s="22"/>
      <c r="H6" s="40"/>
      <c r="I6" s="23"/>
      <c r="J6" s="369"/>
      <c r="K6" s="550"/>
      <c r="L6" s="543"/>
      <c r="M6" s="543"/>
      <c r="N6" s="543"/>
      <c r="O6" s="543"/>
      <c r="P6" s="543"/>
    </row>
    <row r="7" ht="42" customHeight="1" x14ac:dyDescent="0.25">
      <c r="A7" s="418">
        <v>2</v>
      </c>
      <c r="B7" s="437" t="s">
        <v>172</v>
      </c>
      <c r="C7" s="260"/>
      <c r="D7" s="440" t="s">
        <v>173</v>
      </c>
      <c r="E7" s="33" t="s">
        <v>53</v>
      </c>
      <c r="F7" s="34" t="s">
        <v>174</v>
      </c>
      <c r="G7" s="33" t="s">
        <v>168</v>
      </c>
      <c r="H7" s="34" t="s">
        <v>169</v>
      </c>
      <c r="I7" s="34" t="s">
        <v>170</v>
      </c>
      <c r="J7" s="437" t="s">
        <v>175</v>
      </c>
      <c r="K7" s="546" t="inlineStr">
        <is>
          <t xml:space="preserve">kongruent</t>
        </is>
      </c>
      <c r="L7" s="543" t="inlineStr">
        <is>
          <t xml:space="preserve">50 Min.</t>
        </is>
      </c>
      <c r="M7" s="543" t="inlineStr">
        <is>
          <t xml:space="preserve">monatlich</t>
        </is>
      </c>
      <c r="N7" s="543" t="inlineStr">
        <is>
          <t xml:space="preserve">73</t>
        </is>
      </c>
      <c r="O7" s="543"/>
      <c r="P7" s="543" t="inlineStr">
        <is>
          <t xml:space="preserve">übereinstimmend</t>
        </is>
      </c>
    </row>
    <row r="8" ht="55.9" customHeight="1" x14ac:dyDescent="0.25">
      <c r="A8" s="419"/>
      <c r="B8" s="438"/>
      <c r="C8" s="261" t="s">
        <v>176</v>
      </c>
      <c r="D8" s="441"/>
      <c r="E8" s="33"/>
      <c r="F8" s="34" t="s">
        <v>88</v>
      </c>
      <c r="G8" s="33" t="s">
        <v>177</v>
      </c>
      <c r="H8" s="34"/>
      <c r="I8" s="217" t="s">
        <v>178</v>
      </c>
      <c r="J8" s="438"/>
      <c r="K8" s="546"/>
      <c r="L8" s="543"/>
      <c r="M8" s="543"/>
      <c r="N8" s="543"/>
      <c r="O8" s="543"/>
      <c r="P8" s="543"/>
    </row>
    <row r="9" ht="23.25" customHeight="1" x14ac:dyDescent="0.25">
      <c r="A9" s="419"/>
      <c r="B9" s="438"/>
      <c r="C9" s="261"/>
      <c r="D9" s="441"/>
      <c r="E9" s="33"/>
      <c r="F9" s="34"/>
      <c r="G9" s="33"/>
      <c r="H9" s="34"/>
      <c r="I9" s="33"/>
      <c r="J9" s="438"/>
      <c r="K9" s="546"/>
      <c r="L9" s="543"/>
      <c r="M9" s="543"/>
      <c r="N9" s="543"/>
      <c r="O9" s="543"/>
      <c r="P9" s="543"/>
    </row>
    <row r="10" ht="24" customHeight="1" x14ac:dyDescent="0.25">
      <c r="A10" s="419"/>
      <c r="B10" s="438"/>
      <c r="C10" s="261"/>
      <c r="D10" s="441"/>
      <c r="E10" s="33"/>
      <c r="F10" s="34"/>
      <c r="G10" s="33"/>
      <c r="H10" s="34"/>
      <c r="I10" s="33"/>
      <c r="J10" s="438"/>
      <c r="K10" s="546"/>
      <c r="L10" s="543"/>
      <c r="M10" s="543"/>
      <c r="N10" s="543"/>
      <c r="O10" s="543"/>
      <c r="P10" s="543"/>
    </row>
    <row r="11" ht="14.45" customHeight="1" x14ac:dyDescent="0.25">
      <c r="A11" s="420"/>
      <c r="B11" s="439"/>
      <c r="C11" s="262"/>
      <c r="D11" s="442"/>
      <c r="E11" s="33"/>
      <c r="F11" s="34"/>
      <c r="G11" s="33"/>
      <c r="H11" s="34"/>
      <c r="I11" s="33"/>
      <c r="J11" s="439"/>
      <c r="K11" s="546"/>
      <c r="L11" s="543"/>
      <c r="M11" s="543"/>
      <c r="N11" s="543"/>
      <c r="O11" s="543"/>
      <c r="P11" s="543"/>
    </row>
    <row r="12" ht="41.25" customHeight="1" x14ac:dyDescent="0.25">
      <c r="A12" s="326">
        <v>3</v>
      </c>
      <c r="B12" s="392" t="s">
        <v>179</v>
      </c>
      <c r="C12" s="273"/>
      <c r="D12" s="458" t="s">
        <v>180</v>
      </c>
      <c r="E12" s="23" t="s">
        <v>53</v>
      </c>
      <c r="F12" s="24" t="s">
        <v>336</v>
      </c>
      <c r="G12" s="23" t="s">
        <v>181</v>
      </c>
      <c r="H12" s="24" t="s">
        <v>169</v>
      </c>
      <c r="I12" s="24" t="s">
        <v>170</v>
      </c>
      <c r="J12" s="392" t="s">
        <v>182</v>
      </c>
      <c r="K12" s="545" t="inlineStr">
        <is>
          <t xml:space="preserve">Abgleich je Teilformat in den Zeilen 17–20 (3a–3d)</t>
        </is>
      </c>
      <c r="L12" s="545"/>
      <c r="M12" s="545"/>
      <c r="N12" s="545"/>
      <c r="O12" s="545"/>
      <c r="P12" s="545"/>
    </row>
    <row r="13" ht="22.5" customHeight="1" x14ac:dyDescent="0.25">
      <c r="A13" s="327"/>
      <c r="B13" s="393"/>
      <c r="C13" s="271"/>
      <c r="D13" s="459"/>
      <c r="E13" s="23"/>
      <c r="F13" s="24"/>
      <c r="G13" s="218" t="s">
        <v>177</v>
      </c>
      <c r="H13" s="24"/>
      <c r="I13" s="23"/>
      <c r="J13" s="393"/>
      <c r="K13" s="545"/>
      <c r="L13" s="545"/>
      <c r="M13" s="545"/>
      <c r="N13" s="545"/>
      <c r="O13" s="545"/>
      <c r="P13" s="545"/>
    </row>
    <row r="14" ht="22.5" customHeight="1" x14ac:dyDescent="0.25">
      <c r="A14" s="327"/>
      <c r="B14" s="393"/>
      <c r="C14" s="271"/>
      <c r="D14" s="459"/>
      <c r="E14" s="23"/>
      <c r="F14" s="24"/>
      <c r="G14" s="23"/>
      <c r="H14" s="24"/>
      <c r="I14" s="23"/>
      <c r="J14" s="393"/>
      <c r="K14" s="545"/>
      <c r="L14" s="545"/>
      <c r="M14" s="545"/>
      <c r="N14" s="545"/>
      <c r="O14" s="545"/>
      <c r="P14" s="545"/>
    </row>
    <row r="15" ht="22.5" customHeight="1" x14ac:dyDescent="0.25">
      <c r="A15" s="327"/>
      <c r="B15" s="393"/>
      <c r="C15" s="271"/>
      <c r="D15" s="459"/>
      <c r="E15" s="23"/>
      <c r="F15" s="24"/>
      <c r="G15" s="23"/>
      <c r="H15" s="24"/>
      <c r="I15" s="23"/>
      <c r="J15" s="393"/>
      <c r="K15" s="545"/>
      <c r="L15" s="545"/>
      <c r="M15" s="545"/>
      <c r="N15" s="545"/>
      <c r="O15" s="545"/>
      <c r="P15" s="545"/>
    </row>
    <row r="16" ht="22.5" customHeight="1" x14ac:dyDescent="0.25">
      <c r="A16" s="328"/>
      <c r="B16" s="394"/>
      <c r="C16" s="272"/>
      <c r="D16" s="460"/>
      <c r="E16" s="23"/>
      <c r="F16" s="24"/>
      <c r="G16" s="23"/>
      <c r="H16" s="24"/>
      <c r="I16" s="23"/>
      <c r="J16" s="394"/>
      <c r="K16" s="545"/>
      <c r="L16" s="545"/>
      <c r="M16" s="545"/>
      <c r="N16" s="545"/>
      <c r="O16" s="545"/>
      <c r="P16" s="545"/>
    </row>
    <row r="17" s="309" customFormat="1" ht="53.25" customHeight="1" x14ac:dyDescent="0.25">
      <c r="A17" s="303"/>
      <c r="B17" s="304" t="s">
        <v>184</v>
      </c>
      <c r="C17" s="304" t="s">
        <v>185</v>
      </c>
      <c r="D17" s="305"/>
      <c r="E17" s="306" t="s">
        <v>53</v>
      </c>
      <c r="F17" s="307" t="s">
        <v>336</v>
      </c>
      <c r="G17" s="306" t="s">
        <v>181</v>
      </c>
      <c r="H17" s="307" t="s">
        <v>169</v>
      </c>
      <c r="I17" s="306" t="s">
        <v>170</v>
      </c>
      <c r="J17" s="308" t="s">
        <v>342</v>
      </c>
      <c r="K17" s="546" t="inlineStr">
        <is>
          <t xml:space="preserve">kongruent</t>
        </is>
      </c>
      <c r="L17" s="543" t="inlineStr">
        <is>
          <t xml:space="preserve">75 Min.</t>
        </is>
      </c>
      <c r="M17" s="543" t="inlineStr">
        <is>
          <t xml:space="preserve">alle 6-8 Wochen</t>
        </is>
      </c>
      <c r="N17" s="543" t="inlineStr">
        <is>
          <t xml:space="preserve">7</t>
        </is>
      </c>
      <c r="O17" s="543"/>
      <c r="P17" s="543" t="inlineStr">
        <is>
          <t xml:space="preserve">übereinstimmend</t>
        </is>
      </c>
    </row>
    <row r="18" s="309" customFormat="1" ht="53.25" customHeight="1" x14ac:dyDescent="0.25">
      <c r="A18" s="303"/>
      <c r="B18" s="308" t="s">
        <v>331</v>
      </c>
      <c r="C18" s="308" t="s">
        <v>176</v>
      </c>
      <c r="D18" s="310"/>
      <c r="E18" s="306" t="s">
        <v>53</v>
      </c>
      <c r="F18" s="307" t="s">
        <v>336</v>
      </c>
      <c r="G18" s="306" t="s">
        <v>181</v>
      </c>
      <c r="H18" s="307" t="s">
        <v>169</v>
      </c>
      <c r="I18" s="306" t="s">
        <v>170</v>
      </c>
      <c r="J18" s="308"/>
      <c r="K18" s="546" t="inlineStr">
        <is>
          <t xml:space="preserve">kongruent</t>
        </is>
      </c>
      <c r="L18" s="543" t="inlineStr">
        <is>
          <t xml:space="preserve">50 Min.</t>
        </is>
      </c>
      <c r="M18" s="543" t="inlineStr">
        <is>
          <t xml:space="preserve">alle 6-8 Wochen</t>
        </is>
      </c>
      <c r="N18" s="543" t="inlineStr">
        <is>
          <t xml:space="preserve">7</t>
        </is>
      </c>
      <c r="O18" s="543"/>
      <c r="P18" s="543" t="inlineStr">
        <is>
          <t xml:space="preserve">übereinstimmend</t>
        </is>
      </c>
    </row>
    <row r="19" s="309" customFormat="1" ht="53.25" customHeight="1" x14ac:dyDescent="0.25">
      <c r="A19" s="303"/>
      <c r="B19" s="304" t="s">
        <v>330</v>
      </c>
      <c r="C19" s="304" t="s">
        <v>176</v>
      </c>
      <c r="D19" s="305"/>
      <c r="E19" s="306" t="s">
        <v>53</v>
      </c>
      <c r="F19" s="307" t="s">
        <v>336</v>
      </c>
      <c r="G19" s="306" t="s">
        <v>168</v>
      </c>
      <c r="H19" s="307" t="s">
        <v>169</v>
      </c>
      <c r="I19" s="306" t="s">
        <v>170</v>
      </c>
      <c r="J19" s="308"/>
      <c r="K19" s="546" t="inlineStr">
        <is>
          <t xml:space="preserve">kongruent</t>
        </is>
      </c>
      <c r="L19" s="543" t="inlineStr">
        <is>
          <t xml:space="preserve">50 Min.</t>
        </is>
      </c>
      <c r="M19" s="543" t="inlineStr">
        <is>
          <t xml:space="preserve">monatlich</t>
        </is>
      </c>
      <c r="N19" s="543" t="inlineStr">
        <is>
          <t xml:space="preserve">10</t>
        </is>
      </c>
      <c r="O19" s="543"/>
      <c r="P19" s="543" t="inlineStr">
        <is>
          <t xml:space="preserve">übereinstimmend</t>
        </is>
      </c>
    </row>
    <row r="20" s="309" customFormat="1" ht="66.75" customHeight="1" x14ac:dyDescent="0.25">
      <c r="A20" s="303"/>
      <c r="B20" s="308" t="s">
        <v>186</v>
      </c>
      <c r="C20" s="308" t="s">
        <v>176</v>
      </c>
      <c r="D20" s="310"/>
      <c r="E20" s="306" t="s">
        <v>53</v>
      </c>
      <c r="F20" s="307" t="s">
        <v>336</v>
      </c>
      <c r="G20" s="517" t="s">
        <v>168</v>
      </c>
      <c r="H20" s="307" t="s">
        <v>169</v>
      </c>
      <c r="I20" s="306" t="s">
        <v>170</v>
      </c>
      <c r="J20" s="304"/>
      <c r="K20" s="546" t="inlineStr">
        <is>
          <t xml:space="preserve">kongruent</t>
        </is>
      </c>
      <c r="L20" s="543" t="inlineStr">
        <is>
          <t xml:space="preserve">50 Min.</t>
        </is>
      </c>
      <c r="M20" s="543" t="inlineStr">
        <is>
          <t xml:space="preserve">monatlich</t>
        </is>
      </c>
      <c r="N20" s="543" t="inlineStr">
        <is>
          <t xml:space="preserve">11</t>
        </is>
      </c>
      <c r="O20" s="543"/>
      <c r="P20" s="543" t="inlineStr">
        <is>
          <t xml:space="preserve">übereinstimmend</t>
        </is>
      </c>
    </row>
    <row r="21" ht="37.5" customHeight="1" x14ac:dyDescent="0.25">
      <c r="A21" s="418">
        <v>4</v>
      </c>
      <c r="B21" s="518" t="s">
        <v>343</v>
      </c>
      <c r="C21" s="260"/>
      <c r="D21" s="440" t="s">
        <v>187</v>
      </c>
      <c r="E21" s="33" t="s">
        <v>53</v>
      </c>
      <c r="F21" s="34" t="s">
        <v>344</v>
      </c>
      <c r="G21" s="33" t="s">
        <v>168</v>
      </c>
      <c r="H21" s="34" t="s">
        <v>169</v>
      </c>
      <c r="I21" s="34" t="s">
        <v>170</v>
      </c>
      <c r="J21" s="437"/>
      <c r="K21" s="546" t="inlineStr">
        <is>
          <t xml:space="preserve">kongruent</t>
        </is>
      </c>
      <c r="L21" s="543" t="inlineStr">
        <is>
          <t xml:space="preserve">90 Min.</t>
        </is>
      </c>
      <c r="M21" s="543" t="inlineStr">
        <is>
          <t xml:space="preserve">monatlich</t>
        </is>
      </c>
      <c r="N21" s="543" t="inlineStr">
        <is>
          <t xml:space="preserve">11</t>
        </is>
      </c>
      <c r="O21" s="543"/>
      <c r="P21" s="543" t="inlineStr">
        <is>
          <t xml:space="preserve">übereinstimmend</t>
        </is>
      </c>
    </row>
    <row r="22" ht="22.5" customHeight="1" x14ac:dyDescent="0.25">
      <c r="A22" s="419"/>
      <c r="B22" s="519"/>
      <c r="C22" s="261"/>
      <c r="D22" s="441"/>
      <c r="E22" s="33"/>
      <c r="F22" s="34"/>
      <c r="G22" s="33"/>
      <c r="H22" s="34"/>
      <c r="I22" s="33"/>
      <c r="J22" s="438"/>
      <c r="K22" s="546"/>
      <c r="L22" s="543"/>
      <c r="M22" s="543"/>
      <c r="N22" s="543"/>
      <c r="O22" s="543"/>
      <c r="P22" s="543"/>
    </row>
    <row r="23" ht="22.5" customHeight="1" x14ac:dyDescent="0.25">
      <c r="A23" s="419"/>
      <c r="B23" s="519"/>
      <c r="C23" s="261" t="s">
        <v>183</v>
      </c>
      <c r="D23" s="441"/>
      <c r="E23" s="33"/>
      <c r="F23" s="34"/>
      <c r="G23" s="33"/>
      <c r="H23" s="34"/>
      <c r="I23" s="33"/>
      <c r="J23" s="438"/>
      <c r="K23" s="546"/>
      <c r="L23" s="543"/>
      <c r="M23" s="543"/>
      <c r="N23" s="543"/>
      <c r="O23" s="543"/>
      <c r="P23" s="543"/>
    </row>
    <row r="24" ht="22.5" customHeight="1" x14ac:dyDescent="0.25">
      <c r="A24" s="419"/>
      <c r="B24" s="519"/>
      <c r="C24" s="261"/>
      <c r="D24" s="441"/>
      <c r="E24" s="33"/>
      <c r="F24" s="34"/>
      <c r="G24" s="33"/>
      <c r="H24" s="34"/>
      <c r="I24" s="33"/>
      <c r="J24" s="438"/>
      <c r="K24" s="546"/>
      <c r="L24" s="543"/>
      <c r="M24" s="543"/>
      <c r="N24" s="543"/>
      <c r="O24" s="543"/>
      <c r="P24" s="543"/>
    </row>
    <row r="25" ht="36.75" customHeight="1" x14ac:dyDescent="0.25">
      <c r="A25" s="420"/>
      <c r="B25" s="520"/>
      <c r="C25" s="262"/>
      <c r="D25" s="442"/>
      <c r="E25" s="33"/>
      <c r="F25" s="34"/>
      <c r="G25" s="33"/>
      <c r="H25" s="34"/>
      <c r="I25" s="33"/>
      <c r="J25" s="439"/>
      <c r="K25" s="546"/>
      <c r="L25" s="543"/>
      <c r="M25" s="543"/>
      <c r="N25" s="543"/>
      <c r="O25" s="543"/>
      <c r="P25" s="543"/>
    </row>
    <row r="26" ht="35.25" customHeight="1" x14ac:dyDescent="0.25">
      <c r="A26" s="326">
        <v>5</v>
      </c>
      <c r="B26" s="392" t="s">
        <v>188</v>
      </c>
      <c r="C26" s="273"/>
      <c r="D26" s="458" t="s">
        <v>189</v>
      </c>
      <c r="E26" s="23" t="s">
        <v>53</v>
      </c>
      <c r="F26" s="24" t="s">
        <v>339</v>
      </c>
      <c r="G26" s="23" t="s">
        <v>190</v>
      </c>
      <c r="H26" s="24" t="s">
        <v>191</v>
      </c>
      <c r="I26" s="24" t="s">
        <v>192</v>
      </c>
      <c r="J26" s="367" t="s">
        <v>193</v>
      </c>
      <c r="K26" s="546" t="inlineStr">
        <is>
          <t xml:space="preserve">kongruent</t>
        </is>
      </c>
      <c r="L26" s="543" t="inlineStr">
        <is>
          <t xml:space="preserve">2 Std.</t>
        </is>
      </c>
      <c r="M26" s="543" t="inlineStr">
        <is>
          <t xml:space="preserve">monatlich</t>
        </is>
      </c>
      <c r="N26" s="543" t="inlineStr">
        <is>
          <t xml:space="preserve">44</t>
        </is>
      </c>
      <c r="O26" s="543"/>
      <c r="P26" s="543" t="inlineStr">
        <is>
          <t xml:space="preserve">übereinstimmend</t>
        </is>
      </c>
    </row>
    <row r="27" ht="24.75" customHeight="1" x14ac:dyDescent="0.25">
      <c r="A27" s="327"/>
      <c r="B27" s="393"/>
      <c r="C27" s="271" t="s">
        <v>194</v>
      </c>
      <c r="D27" s="459"/>
      <c r="E27" s="23"/>
      <c r="F27" s="24" t="s">
        <v>148</v>
      </c>
      <c r="G27" s="23"/>
      <c r="H27" s="24" t="s">
        <v>195</v>
      </c>
      <c r="I27" s="23"/>
      <c r="J27" s="368"/>
      <c r="K27" s="546"/>
      <c r="L27" s="543"/>
      <c r="M27" s="543"/>
      <c r="N27" s="543"/>
      <c r="O27" s="543"/>
      <c r="P27" s="543"/>
    </row>
    <row r="28" ht="24.75" customHeight="1" x14ac:dyDescent="0.25">
      <c r="A28" s="327"/>
      <c r="B28" s="393"/>
      <c r="C28" s="271"/>
      <c r="D28" s="459"/>
      <c r="E28" s="23"/>
      <c r="F28" s="24"/>
      <c r="G28" s="23"/>
      <c r="H28" s="24"/>
      <c r="I28" s="23"/>
      <c r="J28" s="368"/>
      <c r="K28" s="546"/>
      <c r="L28" s="543"/>
      <c r="M28" s="543"/>
      <c r="N28" s="543"/>
      <c r="O28" s="543"/>
      <c r="P28" s="543"/>
    </row>
    <row r="29" ht="15.6" customHeight="1" x14ac:dyDescent="0.25">
      <c r="A29" s="328"/>
      <c r="B29" s="393"/>
      <c r="C29" s="271"/>
      <c r="D29" s="459"/>
      <c r="E29" s="23"/>
      <c r="F29" s="24"/>
      <c r="G29" s="23"/>
      <c r="H29" s="24"/>
      <c r="I29" s="23"/>
      <c r="J29" s="368"/>
      <c r="K29" s="546"/>
      <c r="L29" s="543"/>
      <c r="M29" s="543"/>
      <c r="N29" s="543"/>
      <c r="O29" s="543"/>
      <c r="P29" s="543"/>
    </row>
    <row r="30" s="309" customFormat="1" ht="31.5" customHeight="1" x14ac:dyDescent="0.25">
      <c r="A30" s="421">
        <v>6</v>
      </c>
      <c r="B30" s="449" t="s">
        <v>196</v>
      </c>
      <c r="C30" s="521"/>
      <c r="D30" s="452" t="s">
        <v>197</v>
      </c>
      <c r="E30" s="306" t="s">
        <v>53</v>
      </c>
      <c r="F30" s="307" t="s">
        <v>174</v>
      </c>
      <c r="G30" s="306" t="s">
        <v>341</v>
      </c>
      <c r="H30" s="313" t="s">
        <v>198</v>
      </c>
      <c r="I30" s="312" t="s">
        <v>199</v>
      </c>
      <c r="J30" s="409" t="s">
        <v>340</v>
      </c>
      <c r="K30" s="546" t="inlineStr">
        <is>
          <t xml:space="preserve">kongruent</t>
        </is>
      </c>
      <c r="L30" s="543" t="inlineStr">
        <is>
          <t xml:space="preserve">3 Std.</t>
        </is>
      </c>
      <c r="M30" s="543" t="inlineStr">
        <is>
          <t xml:space="preserve">offen</t>
        </is>
      </c>
      <c r="N30" s="543" t="inlineStr">
        <is>
          <t xml:space="preserve">2</t>
        </is>
      </c>
      <c r="O30" s="543"/>
      <c r="P30" s="543" t="inlineStr">
        <is>
          <t xml:space="preserve">übereinstimmend</t>
        </is>
      </c>
    </row>
    <row r="31" s="309" customFormat="1" ht="32.65" customHeight="1" x14ac:dyDescent="0.25">
      <c r="A31" s="422"/>
      <c r="B31" s="450"/>
      <c r="C31" s="522"/>
      <c r="D31" s="453"/>
      <c r="E31" s="306"/>
      <c r="F31" s="307" t="s">
        <v>339</v>
      </c>
      <c r="G31" s="306"/>
      <c r="H31" s="313" t="s">
        <v>191</v>
      </c>
      <c r="I31" s="312"/>
      <c r="J31" s="410"/>
      <c r="K31" s="546"/>
      <c r="L31" s="543"/>
      <c r="M31" s="543"/>
      <c r="N31" s="543"/>
      <c r="O31" s="543"/>
      <c r="P31" s="543"/>
    </row>
    <row r="32" s="309" customFormat="1" ht="21.75" customHeight="1" x14ac:dyDescent="0.25">
      <c r="A32" s="422"/>
      <c r="B32" s="450"/>
      <c r="C32" s="522"/>
      <c r="D32" s="453"/>
      <c r="E32" s="306"/>
      <c r="F32" s="307" t="s">
        <v>148</v>
      </c>
      <c r="G32" s="306"/>
      <c r="H32" s="313"/>
      <c r="I32" s="312"/>
      <c r="J32" s="410"/>
      <c r="K32" s="546"/>
      <c r="L32" s="543"/>
      <c r="M32" s="543"/>
      <c r="N32" s="543"/>
      <c r="O32" s="543"/>
      <c r="P32" s="543"/>
    </row>
    <row r="33" s="309" customFormat="1" ht="21.75" customHeight="1" x14ac:dyDescent="0.25">
      <c r="A33" s="422"/>
      <c r="B33" s="450"/>
      <c r="C33" s="522" t="s">
        <v>236</v>
      </c>
      <c r="D33" s="453"/>
      <c r="E33" s="306"/>
      <c r="F33" s="307" t="s">
        <v>154</v>
      </c>
      <c r="G33" s="306"/>
      <c r="H33" s="313"/>
      <c r="I33" s="312"/>
      <c r="J33" s="410"/>
      <c r="K33" s="546"/>
      <c r="L33" s="543"/>
      <c r="M33" s="543"/>
      <c r="N33" s="543"/>
      <c r="O33" s="543"/>
      <c r="P33" s="543"/>
    </row>
    <row r="34" s="309" customFormat="1" ht="21.75" customHeight="1" x14ac:dyDescent="0.25">
      <c r="A34" s="422"/>
      <c r="B34" s="450"/>
      <c r="C34" s="522"/>
      <c r="D34" s="453"/>
      <c r="E34" s="306"/>
      <c r="F34" s="319"/>
      <c r="G34" s="306"/>
      <c r="H34" s="313"/>
      <c r="I34" s="312"/>
      <c r="J34" s="410"/>
      <c r="K34" s="546"/>
      <c r="L34" s="543"/>
      <c r="M34" s="543"/>
      <c r="N34" s="543"/>
      <c r="O34" s="543"/>
      <c r="P34" s="543"/>
    </row>
    <row r="35" s="309" customFormat="1" ht="21.75" customHeight="1" x14ac:dyDescent="0.25">
      <c r="A35" s="422"/>
      <c r="B35" s="450"/>
      <c r="C35" s="522"/>
      <c r="D35" s="453"/>
      <c r="E35" s="306"/>
      <c r="F35" s="319" t="s">
        <v>55</v>
      </c>
      <c r="G35" s="306"/>
      <c r="H35" s="313"/>
      <c r="I35" s="312"/>
      <c r="J35" s="410"/>
      <c r="K35" s="546"/>
      <c r="L35" s="543"/>
      <c r="M35" s="543"/>
      <c r="N35" s="543"/>
      <c r="O35" s="543"/>
      <c r="P35" s="543"/>
    </row>
    <row r="36" s="309" customFormat="1" ht="41.45" customHeight="1" x14ac:dyDescent="0.25">
      <c r="A36" s="423"/>
      <c r="B36" s="451"/>
      <c r="C36" s="523"/>
      <c r="D36" s="454"/>
      <c r="E36" s="306"/>
      <c r="F36" s="313" t="s">
        <v>167</v>
      </c>
      <c r="G36" s="306"/>
      <c r="H36" s="313"/>
      <c r="I36" s="312"/>
      <c r="J36" s="411"/>
      <c r="K36" s="546"/>
      <c r="L36" s="543"/>
      <c r="M36" s="543"/>
      <c r="N36" s="543"/>
      <c r="O36" s="543"/>
      <c r="P36" s="543"/>
    </row>
    <row r="37" ht="38.25" customHeight="1" x14ac:dyDescent="0.25">
      <c r="A37" s="326">
        <v>7</v>
      </c>
      <c r="B37" s="449" t="s">
        <v>332</v>
      </c>
      <c r="C37" s="317"/>
      <c r="D37" s="461" t="s">
        <v>201</v>
      </c>
      <c r="E37" s="23" t="s">
        <v>53</v>
      </c>
      <c r="F37" s="24" t="s">
        <v>174</v>
      </c>
      <c r="G37" s="306" t="s">
        <v>219</v>
      </c>
      <c r="H37" s="24" t="s">
        <v>191</v>
      </c>
      <c r="I37" s="24" t="s">
        <v>203</v>
      </c>
      <c r="J37" s="115"/>
      <c r="K37" s="546" t="inlineStr">
        <is>
          <t xml:space="preserve">kongruent</t>
        </is>
      </c>
      <c r="L37" s="543" t="inlineStr">
        <is>
          <t xml:space="preserve">13 Std.</t>
        </is>
      </c>
      <c r="M37" s="543" t="inlineStr">
        <is>
          <t xml:space="preserve">jährlich (November)</t>
        </is>
      </c>
      <c r="N37" s="543" t="inlineStr">
        <is>
          <t xml:space="preserve">1</t>
        </is>
      </c>
      <c r="O37" s="543"/>
      <c r="P37" s="543" t="inlineStr">
        <is>
          <t xml:space="preserve">übereinstimmend</t>
        </is>
      </c>
    </row>
    <row r="38" ht="30.75" customHeight="1" x14ac:dyDescent="0.25">
      <c r="A38" s="327"/>
      <c r="B38" s="450"/>
      <c r="C38" s="304"/>
      <c r="D38" s="459"/>
      <c r="E38" s="23"/>
      <c r="F38" s="24" t="s">
        <v>339</v>
      </c>
      <c r="G38" s="23"/>
      <c r="H38" s="24"/>
      <c r="I38" s="24" t="s">
        <v>170</v>
      </c>
      <c r="J38" s="116"/>
      <c r="K38" s="546"/>
      <c r="L38" s="543"/>
      <c r="M38" s="543"/>
      <c r="N38" s="543"/>
      <c r="O38" s="543"/>
      <c r="P38" s="543"/>
    </row>
    <row r="39" ht="22.5" customHeight="1" x14ac:dyDescent="0.25">
      <c r="A39" s="327"/>
      <c r="B39" s="450"/>
      <c r="C39" s="304"/>
      <c r="D39" s="459"/>
      <c r="E39" s="23"/>
      <c r="F39" s="24" t="s">
        <v>148</v>
      </c>
      <c r="G39" s="23"/>
      <c r="H39" s="24"/>
      <c r="I39" s="23"/>
      <c r="J39" s="116"/>
      <c r="K39" s="546"/>
      <c r="L39" s="543"/>
      <c r="M39" s="543"/>
      <c r="N39" s="543"/>
      <c r="O39" s="543"/>
      <c r="P39" s="543"/>
    </row>
    <row r="40" ht="24.75" customHeight="1" x14ac:dyDescent="0.25">
      <c r="A40" s="327"/>
      <c r="B40" s="450"/>
      <c r="C40" s="304" t="s">
        <v>334</v>
      </c>
      <c r="D40" s="459"/>
      <c r="E40" s="23"/>
      <c r="F40" s="24"/>
      <c r="G40" s="23"/>
      <c r="H40" s="24"/>
      <c r="I40" s="23"/>
      <c r="J40" s="116"/>
      <c r="K40" s="546"/>
      <c r="L40" s="543"/>
      <c r="M40" s="543"/>
      <c r="N40" s="543"/>
      <c r="O40" s="543"/>
      <c r="P40" s="543"/>
    </row>
    <row r="41" ht="68.25" customHeight="1" x14ac:dyDescent="0.25">
      <c r="A41" s="328"/>
      <c r="B41" s="451"/>
      <c r="C41" s="318"/>
      <c r="D41" s="460"/>
      <c r="E41" s="23"/>
      <c r="F41" s="24"/>
      <c r="G41" s="23"/>
      <c r="H41" s="24"/>
      <c r="I41" s="23"/>
      <c r="J41" s="117"/>
      <c r="K41" s="546"/>
      <c r="L41" s="543"/>
      <c r="M41" s="543"/>
      <c r="N41" s="543"/>
      <c r="O41" s="543"/>
      <c r="P41" s="543"/>
    </row>
    <row r="42" ht="57" customHeight="1" x14ac:dyDescent="0.25">
      <c r="A42" s="418">
        <v>8</v>
      </c>
      <c r="B42" s="437" t="s">
        <v>204</v>
      </c>
      <c r="C42" s="260"/>
      <c r="D42" s="440" t="s">
        <v>205</v>
      </c>
      <c r="E42" s="33" t="s">
        <v>53</v>
      </c>
      <c r="F42" s="34" t="s">
        <v>336</v>
      </c>
      <c r="G42" s="33" t="s">
        <v>177</v>
      </c>
      <c r="H42" s="34" t="s">
        <v>191</v>
      </c>
      <c r="I42" s="34" t="s">
        <v>206</v>
      </c>
      <c r="J42" s="437" t="s">
        <v>207</v>
      </c>
      <c r="K42" s="548" t="inlineStr">
        <is>
          <t xml:space="preserve">fehlt im Kalender</t>
        </is>
      </c>
      <c r="L42" s="543" t="inlineStr">
        <is>
          <t xml:space="preserve">—</t>
        </is>
      </c>
      <c r="M42" s="543" t="inlineStr">
        <is>
          <t xml:space="preserve">—</t>
        </is>
      </c>
      <c r="N42" s="543" t="inlineStr">
        <is>
          <t xml:space="preserve">—</t>
        </is>
      </c>
      <c r="O42" s="543" t="inlineStr">
        <is>
          <t xml:space="preserve">kein Termin im Kalender | Matrix: nur in der Anfangszeit, mittelfristig nicht notwendig</t>
        </is>
      </c>
      <c r="P42" s="543" t="inlineStr">
        <is>
          <t xml:space="preserve">offen</t>
        </is>
      </c>
    </row>
    <row r="43" ht="27.75" customHeight="1" x14ac:dyDescent="0.25">
      <c r="A43" s="419"/>
      <c r="B43" s="438"/>
      <c r="C43" s="261"/>
      <c r="D43" s="462"/>
      <c r="E43" s="33"/>
      <c r="F43" s="34" t="s">
        <v>148</v>
      </c>
      <c r="G43" s="33"/>
      <c r="H43" s="34"/>
      <c r="I43" s="34" t="s">
        <v>170</v>
      </c>
      <c r="J43" s="438"/>
      <c r="K43" s="548"/>
      <c r="L43" s="543"/>
      <c r="M43" s="543"/>
      <c r="N43" s="543"/>
      <c r="O43" s="543"/>
      <c r="P43" s="543"/>
    </row>
    <row r="44" ht="27.75" customHeight="1" x14ac:dyDescent="0.25">
      <c r="A44" s="419"/>
      <c r="B44" s="438"/>
      <c r="C44" s="261" t="s">
        <v>208</v>
      </c>
      <c r="D44" s="462"/>
      <c r="E44" s="33"/>
      <c r="F44" s="34" t="s">
        <v>209</v>
      </c>
      <c r="G44" s="33"/>
      <c r="H44" s="34"/>
      <c r="I44" s="33"/>
      <c r="J44" s="438"/>
      <c r="K44" s="548"/>
      <c r="L44" s="543"/>
      <c r="M44" s="543"/>
      <c r="N44" s="543"/>
      <c r="O44" s="543"/>
      <c r="P44" s="543"/>
    </row>
    <row r="45" ht="44.25" customHeight="1" x14ac:dyDescent="0.25">
      <c r="A45" s="419"/>
      <c r="B45" s="438"/>
      <c r="C45" s="261"/>
      <c r="D45" s="462"/>
      <c r="E45" s="33"/>
      <c r="F45" s="34" t="s">
        <v>210</v>
      </c>
      <c r="G45" s="33"/>
      <c r="H45" s="34"/>
      <c r="I45" s="33"/>
      <c r="J45" s="438"/>
      <c r="K45" s="548"/>
      <c r="L45" s="543"/>
      <c r="M45" s="543"/>
      <c r="N45" s="543"/>
      <c r="O45" s="543"/>
      <c r="P45" s="543"/>
    </row>
    <row r="46" ht="52.15" customHeight="1" x14ac:dyDescent="0.25">
      <c r="A46" s="420"/>
      <c r="B46" s="439"/>
      <c r="C46" s="262"/>
      <c r="D46" s="463"/>
      <c r="E46" s="33"/>
      <c r="F46" s="34"/>
      <c r="G46" s="33"/>
      <c r="H46" s="34"/>
      <c r="I46" s="33"/>
      <c r="J46" s="439"/>
      <c r="K46" s="548"/>
      <c r="L46" s="543"/>
      <c r="M46" s="543"/>
      <c r="N46" s="543"/>
      <c r="O46" s="543"/>
      <c r="P46" s="543"/>
    </row>
    <row r="47" ht="52.15" customHeight="1" x14ac:dyDescent="0.25">
      <c r="A47" s="326">
        <v>9</v>
      </c>
      <c r="B47" s="367" t="s">
        <v>211</v>
      </c>
      <c r="C47" s="274"/>
      <c r="D47" s="461" t="s">
        <v>212</v>
      </c>
      <c r="E47" s="218" t="s">
        <v>53</v>
      </c>
      <c r="F47" s="221" t="s">
        <v>213</v>
      </c>
      <c r="G47" s="218" t="s">
        <v>214</v>
      </c>
      <c r="H47" s="221"/>
      <c r="I47" s="218"/>
      <c r="J47" s="367" t="s">
        <v>215</v>
      </c>
      <c r="K47" s="548" t="inlineStr">
        <is>
          <t xml:space="preserve">fehlt im Kalender</t>
        </is>
      </c>
      <c r="L47" s="543" t="inlineStr">
        <is>
          <t xml:space="preserve">—</t>
        </is>
      </c>
      <c r="M47" s="543" t="inlineStr">
        <is>
          <t xml:space="preserve">—</t>
        </is>
      </c>
      <c r="N47" s="543" t="inlineStr">
        <is>
          <t xml:space="preserve">—</t>
        </is>
      </c>
      <c r="O47" s="543" t="inlineStr">
        <is>
          <t xml:space="preserve">kein Termin im Kalender</t>
        </is>
      </c>
      <c r="P47" s="543" t="inlineStr">
        <is>
          <t xml:space="preserve">offen</t>
        </is>
      </c>
    </row>
    <row r="48" ht="52.15" customHeight="1" x14ac:dyDescent="0.25">
      <c r="A48" s="327"/>
      <c r="B48" s="368"/>
      <c r="C48" s="275"/>
      <c r="D48" s="506"/>
      <c r="E48" s="218"/>
      <c r="F48" s="221" t="s">
        <v>337</v>
      </c>
      <c r="G48" s="218"/>
      <c r="H48" s="221"/>
      <c r="I48" s="218"/>
      <c r="J48" s="368"/>
      <c r="K48" s="548"/>
      <c r="L48" s="543"/>
      <c r="M48" s="543"/>
      <c r="N48" s="543"/>
      <c r="O48" s="543"/>
      <c r="P48" s="543"/>
    </row>
    <row r="49" ht="52.15" customHeight="1" x14ac:dyDescent="0.25">
      <c r="A49" s="327"/>
      <c r="B49" s="368"/>
      <c r="C49" s="275" t="s">
        <v>216</v>
      </c>
      <c r="D49" s="506"/>
      <c r="E49" s="218"/>
      <c r="F49" s="221" t="s">
        <v>209</v>
      </c>
      <c r="G49" s="218"/>
      <c r="H49" s="221"/>
      <c r="I49" s="218"/>
      <c r="J49" s="368"/>
      <c r="K49" s="548"/>
      <c r="L49" s="543"/>
      <c r="M49" s="543"/>
      <c r="N49" s="543"/>
      <c r="O49" s="543"/>
      <c r="P49" s="543"/>
    </row>
    <row r="50" ht="52.15" customHeight="1" x14ac:dyDescent="0.25">
      <c r="A50" s="327"/>
      <c r="B50" s="368"/>
      <c r="C50" s="275"/>
      <c r="D50" s="506"/>
      <c r="E50" s="218"/>
      <c r="F50" s="221"/>
      <c r="G50" s="218"/>
      <c r="H50" s="221"/>
      <c r="I50" s="218"/>
      <c r="J50" s="368"/>
      <c r="K50" s="548"/>
      <c r="L50" s="543"/>
      <c r="M50" s="543"/>
      <c r="N50" s="543"/>
      <c r="O50" s="543"/>
      <c r="P50" s="543"/>
    </row>
    <row r="51" ht="52.15" customHeight="1" x14ac:dyDescent="0.25">
      <c r="A51" s="328"/>
      <c r="B51" s="369"/>
      <c r="C51" s="276"/>
      <c r="D51" s="507"/>
      <c r="E51" s="218"/>
      <c r="F51" s="221"/>
      <c r="G51" s="218"/>
      <c r="H51" s="221"/>
      <c r="I51" s="218"/>
      <c r="J51" s="369"/>
      <c r="K51" s="548"/>
      <c r="L51" s="543"/>
      <c r="M51" s="543"/>
      <c r="N51" s="543"/>
      <c r="O51" s="543"/>
      <c r="P51" s="543"/>
    </row>
    <row r="52" ht="52.15" customHeight="1" x14ac:dyDescent="0.25">
      <c r="A52" s="434">
        <v>10</v>
      </c>
      <c r="B52" s="508" t="s">
        <v>217</v>
      </c>
      <c r="C52" s="316"/>
      <c r="D52" s="511" t="s">
        <v>218</v>
      </c>
      <c r="E52" s="222" t="s">
        <v>53</v>
      </c>
      <c r="F52" s="223" t="s">
        <v>174</v>
      </c>
      <c r="G52" s="222" t="s">
        <v>219</v>
      </c>
      <c r="H52" s="223" t="s">
        <v>220</v>
      </c>
      <c r="I52" s="222" t="s">
        <v>203</v>
      </c>
      <c r="J52" s="508" t="s">
        <v>221</v>
      </c>
      <c r="K52" s="546" t="inlineStr">
        <is>
          <t xml:space="preserve">kongruent</t>
        </is>
      </c>
      <c r="L52" s="543" t="inlineStr">
        <is>
          <t xml:space="preserve">13 Std.</t>
        </is>
      </c>
      <c r="M52" s="543" t="inlineStr">
        <is>
          <t xml:space="preserve">jährlich (Feb/März)</t>
        </is>
      </c>
      <c r="N52" s="543" t="inlineStr">
        <is>
          <t xml:space="preserve">1</t>
        </is>
      </c>
      <c r="O52" s="543"/>
      <c r="P52" s="543" t="inlineStr">
        <is>
          <t xml:space="preserve">übereinstimmend</t>
        </is>
      </c>
    </row>
    <row r="53" ht="52.15" customHeight="1" x14ac:dyDescent="0.25">
      <c r="A53" s="435"/>
      <c r="B53" s="509"/>
      <c r="C53" s="314"/>
      <c r="D53" s="512"/>
      <c r="E53" s="222"/>
      <c r="F53" s="223" t="s">
        <v>167</v>
      </c>
      <c r="G53" s="222"/>
      <c r="H53" s="223"/>
      <c r="I53" s="222"/>
      <c r="J53" s="509"/>
      <c r="K53" s="546"/>
      <c r="L53" s="543"/>
      <c r="M53" s="543"/>
      <c r="N53" s="543"/>
      <c r="O53" s="543"/>
      <c r="P53" s="543"/>
    </row>
    <row r="54" ht="52.15" customHeight="1" x14ac:dyDescent="0.25">
      <c r="A54" s="435"/>
      <c r="B54" s="509"/>
      <c r="C54" s="314"/>
      <c r="D54" s="512"/>
      <c r="E54" s="222"/>
      <c r="F54" s="223" t="s">
        <v>148</v>
      </c>
      <c r="G54" s="222"/>
      <c r="H54" s="223"/>
      <c r="I54" s="222"/>
      <c r="J54" s="509"/>
      <c r="K54" s="546"/>
      <c r="L54" s="543"/>
      <c r="M54" s="543"/>
      <c r="N54" s="543"/>
      <c r="O54" s="543"/>
      <c r="P54" s="543"/>
    </row>
    <row r="55" ht="52.15" customHeight="1" x14ac:dyDescent="0.25">
      <c r="A55" s="435"/>
      <c r="B55" s="509"/>
      <c r="C55" s="314" t="s">
        <v>333</v>
      </c>
      <c r="D55" s="512"/>
      <c r="E55" s="222"/>
      <c r="F55" s="223"/>
      <c r="G55" s="222"/>
      <c r="H55" s="223"/>
      <c r="I55" s="222"/>
      <c r="J55" s="509"/>
      <c r="K55" s="546"/>
      <c r="L55" s="543"/>
      <c r="M55" s="543"/>
      <c r="N55" s="543"/>
      <c r="O55" s="543"/>
      <c r="P55" s="543"/>
    </row>
    <row r="56" ht="167.25" customHeight="1" x14ac:dyDescent="0.25">
      <c r="A56" s="436"/>
      <c r="B56" s="510"/>
      <c r="C56" s="315"/>
      <c r="D56" s="513"/>
      <c r="E56" s="222"/>
      <c r="F56" s="223"/>
      <c r="G56" s="222"/>
      <c r="H56" s="223"/>
      <c r="I56" s="222"/>
      <c r="J56" s="510"/>
      <c r="K56" s="546"/>
      <c r="L56" s="543"/>
      <c r="M56" s="543"/>
      <c r="N56" s="543"/>
      <c r="O56" s="543"/>
      <c r="P56" s="543"/>
    </row>
    <row r="57" s="32" customFormat="1" ht="31.5" customHeight="1" x14ac:dyDescent="0.25">
      <c r="A57" s="430">
        <v>11</v>
      </c>
      <c r="B57" s="455" t="s">
        <v>222</v>
      </c>
      <c r="C57" s="277"/>
      <c r="D57" s="458" t="s">
        <v>223</v>
      </c>
      <c r="E57" s="23" t="s">
        <v>224</v>
      </c>
      <c r="F57" s="24" t="s">
        <v>225</v>
      </c>
      <c r="G57" s="23" t="s">
        <v>177</v>
      </c>
      <c r="H57" s="24" t="s">
        <v>198</v>
      </c>
      <c r="I57" s="23" t="s">
        <v>226</v>
      </c>
      <c r="J57" s="367" t="s">
        <v>227</v>
      </c>
      <c r="K57" s="550" t="inlineStr">
        <is>
          <t xml:space="preserve">ohne GF</t>
        </is>
      </c>
      <c r="L57" s="543" t="inlineStr">
        <is>
          <t xml:space="preserve">—</t>
        </is>
      </c>
      <c r="M57" s="543" t="inlineStr">
        <is>
          <t xml:space="preserve">—</t>
        </is>
      </c>
      <c r="N57" s="543" t="inlineStr">
        <is>
          <t xml:space="preserve">—</t>
        </is>
      </c>
      <c r="O57" s="543"/>
      <c r="P57" s="543" t="inlineStr">
        <is>
          <t xml:space="preserve">—</t>
        </is>
      </c>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32" customFormat="1" x14ac:dyDescent="0.25">
      <c r="A58" s="431"/>
      <c r="B58" s="456"/>
      <c r="C58" s="281"/>
      <c r="D58" s="459"/>
      <c r="E58" s="23"/>
      <c r="F58" s="24" t="s">
        <v>228</v>
      </c>
      <c r="G58" s="23"/>
      <c r="H58" s="24"/>
      <c r="I58" s="23"/>
      <c r="J58" s="368"/>
      <c r="K58" s="550"/>
      <c r="L58" s="543"/>
      <c r="M58" s="543"/>
      <c r="N58" s="543"/>
      <c r="O58" s="543"/>
      <c r="P58" s="543"/>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32" customFormat="1" ht="30" x14ac:dyDescent="0.25">
      <c r="A59" s="431"/>
      <c r="B59" s="456"/>
      <c r="C59" s="281" t="s">
        <v>229</v>
      </c>
      <c r="D59" s="459"/>
      <c r="E59" s="23"/>
      <c r="F59" s="24" t="s">
        <v>135</v>
      </c>
      <c r="G59" s="23"/>
      <c r="H59" s="24"/>
      <c r="I59" s="23"/>
      <c r="J59" s="368"/>
      <c r="K59" s="550"/>
      <c r="L59" s="543"/>
      <c r="M59" s="543"/>
      <c r="N59" s="543"/>
      <c r="O59" s="543"/>
      <c r="P59" s="543"/>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32" customFormat="1" x14ac:dyDescent="0.25">
      <c r="A60" s="431"/>
      <c r="B60" s="456"/>
      <c r="C60" s="281"/>
      <c r="D60" s="459"/>
      <c r="E60" s="23"/>
      <c r="F60" s="224" t="s">
        <v>200</v>
      </c>
      <c r="G60" s="23"/>
      <c r="H60" s="24"/>
      <c r="I60" s="23"/>
      <c r="J60" s="368"/>
      <c r="K60" s="550"/>
      <c r="L60" s="543"/>
      <c r="M60" s="543"/>
      <c r="N60" s="543"/>
      <c r="O60" s="543"/>
      <c r="P60" s="543"/>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32" customFormat="1" ht="24" customHeight="1" x14ac:dyDescent="0.25">
      <c r="A61" s="432"/>
      <c r="B61" s="457"/>
      <c r="C61" s="282"/>
      <c r="D61" s="460"/>
      <c r="E61" s="23"/>
      <c r="F61" s="24"/>
      <c r="G61" s="23"/>
      <c r="H61" s="24"/>
      <c r="I61" s="23"/>
      <c r="J61" s="369"/>
      <c r="K61" s="550"/>
      <c r="L61" s="543"/>
      <c r="M61" s="543"/>
      <c r="N61" s="543"/>
      <c r="O61" s="543"/>
      <c r="P61" s="543"/>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ht="32.25" customHeight="1" x14ac:dyDescent="0.25">
      <c r="A62" s="418">
        <v>12</v>
      </c>
      <c r="B62" s="437" t="s">
        <v>230</v>
      </c>
      <c r="C62" s="260"/>
      <c r="D62" s="440" t="s">
        <v>231</v>
      </c>
      <c r="E62" s="33" t="s">
        <v>224</v>
      </c>
      <c r="F62" s="34" t="s">
        <v>228</v>
      </c>
      <c r="G62" s="33" t="s">
        <v>232</v>
      </c>
      <c r="H62" s="34" t="s">
        <v>230</v>
      </c>
      <c r="I62" s="33" t="s">
        <v>226</v>
      </c>
      <c r="J62" s="446" t="s">
        <v>227</v>
      </c>
      <c r="K62" s="550" t="inlineStr">
        <is>
          <t xml:space="preserve">ohne GF</t>
        </is>
      </c>
      <c r="L62" s="543" t="inlineStr">
        <is>
          <t xml:space="preserve">—</t>
        </is>
      </c>
      <c r="M62" s="543" t="inlineStr">
        <is>
          <t xml:space="preserve">—</t>
        </is>
      </c>
      <c r="N62" s="543" t="inlineStr">
        <is>
          <t xml:space="preserve">—</t>
        </is>
      </c>
      <c r="O62" s="543"/>
      <c r="P62" s="543" t="inlineStr">
        <is>
          <t xml:space="preserve">—</t>
        </is>
      </c>
    </row>
    <row r="63" x14ac:dyDescent="0.25">
      <c r="A63" s="419"/>
      <c r="B63" s="438"/>
      <c r="C63" s="261"/>
      <c r="D63" s="441"/>
      <c r="E63" s="33"/>
      <c r="F63" s="34"/>
      <c r="G63" s="33" t="s">
        <v>177</v>
      </c>
      <c r="H63" s="34"/>
      <c r="I63" s="33"/>
      <c r="J63" s="447"/>
      <c r="K63" s="550"/>
      <c r="L63" s="543"/>
      <c r="M63" s="543"/>
      <c r="N63" s="543"/>
      <c r="O63" s="543"/>
      <c r="P63" s="543"/>
    </row>
    <row r="64" x14ac:dyDescent="0.25">
      <c r="A64" s="419"/>
      <c r="B64" s="438"/>
      <c r="C64" s="261" t="s">
        <v>229</v>
      </c>
      <c r="D64" s="441"/>
      <c r="E64" s="33"/>
      <c r="F64" s="34"/>
      <c r="G64" s="33"/>
      <c r="H64" s="34"/>
      <c r="I64" s="33"/>
      <c r="J64" s="447"/>
      <c r="K64" s="550"/>
      <c r="L64" s="543"/>
      <c r="M64" s="543"/>
      <c r="N64" s="543"/>
      <c r="O64" s="543"/>
      <c r="P64" s="543"/>
    </row>
    <row r="65" x14ac:dyDescent="0.25">
      <c r="A65" s="419"/>
      <c r="B65" s="438"/>
      <c r="C65" s="261"/>
      <c r="D65" s="441"/>
      <c r="E65" s="33"/>
      <c r="F65" s="34"/>
      <c r="G65" s="33"/>
      <c r="H65" s="34"/>
      <c r="I65" s="33"/>
      <c r="J65" s="447"/>
      <c r="K65" s="550"/>
      <c r="L65" s="543"/>
      <c r="M65" s="543"/>
      <c r="N65" s="543"/>
      <c r="O65" s="543"/>
      <c r="P65" s="543"/>
    </row>
    <row r="66" x14ac:dyDescent="0.25">
      <c r="A66" s="420"/>
      <c r="B66" s="439"/>
      <c r="C66" s="261"/>
      <c r="D66" s="442"/>
      <c r="E66" s="33"/>
      <c r="F66" s="34"/>
      <c r="G66" s="33"/>
      <c r="H66" s="34"/>
      <c r="I66" s="33"/>
      <c r="J66" s="448"/>
      <c r="K66" s="550"/>
      <c r="L66" s="543"/>
      <c r="M66" s="543"/>
      <c r="N66" s="543"/>
      <c r="O66" s="543"/>
      <c r="P66" s="543"/>
    </row>
    <row r="67" s="32" customFormat="1" ht="28.5" customHeight="1" x14ac:dyDescent="0.25">
      <c r="A67" s="430">
        <v>13</v>
      </c>
      <c r="B67" s="503" t="s">
        <v>233</v>
      </c>
      <c r="C67" s="277"/>
      <c r="D67" s="464" t="s">
        <v>234</v>
      </c>
      <c r="E67" s="23" t="s">
        <v>336</v>
      </c>
      <c r="F67" s="224" t="s">
        <v>200</v>
      </c>
      <c r="G67" s="23"/>
      <c r="H67" s="24" t="s">
        <v>39</v>
      </c>
      <c r="I67" s="23" t="s">
        <v>226</v>
      </c>
      <c r="J67" s="392" t="s">
        <v>235</v>
      </c>
      <c r="K67" s="550" t="inlineStr">
        <is>
          <t xml:space="preserve">ohne GF</t>
        </is>
      </c>
      <c r="L67" s="543" t="inlineStr">
        <is>
          <t xml:space="preserve">—</t>
        </is>
      </c>
      <c r="M67" s="543" t="inlineStr">
        <is>
          <t xml:space="preserve">—</t>
        </is>
      </c>
      <c r="N67" s="543" t="inlineStr">
        <is>
          <t xml:space="preserve">—</t>
        </is>
      </c>
      <c r="O67" s="543" t="inlineStr">
        <is>
          <t xml:space="preserve">Allgemeine Beschreibung; alle Steuerkreise im Kalender dauern 120 Min.</t>
        </is>
      </c>
      <c r="P67" s="543" t="inlineStr">
        <is>
          <t xml:space="preserve">—</t>
        </is>
      </c>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32" customFormat="1" x14ac:dyDescent="0.25">
      <c r="A68" s="431"/>
      <c r="B68" s="504"/>
      <c r="C68" s="281" t="s">
        <v>236</v>
      </c>
      <c r="D68" s="465"/>
      <c r="E68" s="23"/>
      <c r="F68" s="24"/>
      <c r="G68" s="23"/>
      <c r="H68" s="24"/>
      <c r="I68" s="23"/>
      <c r="J68" s="393"/>
      <c r="K68" s="550"/>
      <c r="L68" s="543"/>
      <c r="M68" s="543"/>
      <c r="N68" s="543"/>
      <c r="O68" s="543"/>
      <c r="P68" s="543"/>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32" customFormat="1" x14ac:dyDescent="0.25">
      <c r="A69" s="431"/>
      <c r="B69" s="504"/>
      <c r="C69" s="281"/>
      <c r="D69" s="465"/>
      <c r="E69" s="23"/>
      <c r="F69" s="24"/>
      <c r="G69" s="23"/>
      <c r="H69" s="24"/>
      <c r="I69" s="23"/>
      <c r="J69" s="393"/>
      <c r="K69" s="550"/>
      <c r="L69" s="543"/>
      <c r="M69" s="543"/>
      <c r="N69" s="543"/>
      <c r="O69" s="543"/>
      <c r="P69" s="543"/>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32" customFormat="1" x14ac:dyDescent="0.25">
      <c r="A70" s="431"/>
      <c r="B70" s="504"/>
      <c r="C70" s="281"/>
      <c r="D70" s="465"/>
      <c r="E70" s="23"/>
      <c r="F70" s="24"/>
      <c r="G70" s="23"/>
      <c r="H70" s="24"/>
      <c r="I70" s="23"/>
      <c r="J70" s="393"/>
      <c r="K70" s="550"/>
      <c r="L70" s="543"/>
      <c r="M70" s="543"/>
      <c r="N70" s="543"/>
      <c r="O70" s="543"/>
      <c r="P70" s="543"/>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32" customFormat="1" ht="39.6" customHeight="1" x14ac:dyDescent="0.25">
      <c r="A71" s="432"/>
      <c r="B71" s="505"/>
      <c r="C71" s="282"/>
      <c r="D71" s="466"/>
      <c r="E71" s="23"/>
      <c r="F71" s="24"/>
      <c r="G71" s="23"/>
      <c r="H71" s="24"/>
      <c r="I71" s="23"/>
      <c r="J71" s="394"/>
      <c r="K71" s="550"/>
      <c r="L71" s="543"/>
      <c r="M71" s="543"/>
      <c r="N71" s="543"/>
      <c r="O71" s="543"/>
      <c r="P71" s="543"/>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ht="38.25" customHeight="1" x14ac:dyDescent="0.25">
      <c r="A72" s="430">
        <v>14</v>
      </c>
      <c r="B72" s="392" t="s">
        <v>237</v>
      </c>
      <c r="C72" s="412" t="s">
        <v>236</v>
      </c>
      <c r="D72" s="496" t="s">
        <v>238</v>
      </c>
      <c r="E72" s="23" t="s">
        <v>336</v>
      </c>
      <c r="F72" s="24" t="s">
        <v>53</v>
      </c>
      <c r="G72" s="23" t="s">
        <v>214</v>
      </c>
      <c r="H72" s="24" t="s">
        <v>39</v>
      </c>
      <c r="I72" s="23" t="s">
        <v>226</v>
      </c>
      <c r="J72" s="392" t="s">
        <v>239</v>
      </c>
      <c r="K72" s="547" t="inlineStr">
        <is>
          <t xml:space="preserve">abweichend</t>
        </is>
      </c>
      <c r="L72" s="543" t="inlineStr">
        <is>
          <t xml:space="preserve">2 Std.</t>
        </is>
      </c>
      <c r="M72" s="543" t="inlineStr">
        <is>
          <t xml:space="preserve">quartalsweise</t>
        </is>
      </c>
      <c r="N72" s="543" t="inlineStr">
        <is>
          <t xml:space="preserve">4</t>
        </is>
      </c>
      <c r="O72" s="543" t="inlineStr">
        <is>
          <t xml:space="preserve">Dauer: Matrix 3 Std., Kalender 2 Std.</t>
        </is>
      </c>
      <c r="P72" s="543" t="inlineStr">
        <is>
          <t xml:space="preserve">Kalender-Wert gilt (Fritsch)</t>
        </is>
      </c>
    </row>
    <row r="73" ht="51.75" customHeight="1" x14ac:dyDescent="0.25">
      <c r="A73" s="431"/>
      <c r="B73" s="393"/>
      <c r="C73" s="413"/>
      <c r="D73" s="497"/>
      <c r="E73" s="23"/>
      <c r="F73" s="24" t="s">
        <v>174</v>
      </c>
      <c r="G73" s="23"/>
      <c r="H73" s="24"/>
      <c r="I73" s="23"/>
      <c r="J73" s="393"/>
      <c r="K73" s="547"/>
      <c r="L73" s="543"/>
      <c r="M73" s="543"/>
      <c r="N73" s="543"/>
      <c r="O73" s="543"/>
      <c r="P73" s="543"/>
    </row>
    <row r="74" ht="57" customHeight="1" x14ac:dyDescent="0.25">
      <c r="A74" s="431"/>
      <c r="B74" s="393"/>
      <c r="C74" s="413"/>
      <c r="D74" s="497"/>
      <c r="E74" s="23"/>
      <c r="F74" s="224" t="s">
        <v>55</v>
      </c>
      <c r="G74" s="23"/>
      <c r="H74" s="24"/>
      <c r="I74" s="23"/>
      <c r="J74" s="393"/>
      <c r="K74" s="547"/>
      <c r="L74" s="543"/>
      <c r="M74" s="543"/>
      <c r="N74" s="543"/>
      <c r="O74" s="543"/>
      <c r="P74" s="543"/>
    </row>
    <row r="75" ht="60" customHeight="1" x14ac:dyDescent="0.25">
      <c r="A75" s="431"/>
      <c r="B75" s="393"/>
      <c r="C75" s="413"/>
      <c r="D75" s="497"/>
      <c r="E75" s="23"/>
      <c r="F75" s="24" t="s">
        <v>67</v>
      </c>
      <c r="G75" s="23"/>
      <c r="H75" s="24"/>
      <c r="I75" s="23"/>
      <c r="J75" s="393"/>
      <c r="K75" s="547"/>
      <c r="L75" s="543"/>
      <c r="M75" s="543"/>
      <c r="N75" s="543"/>
      <c r="O75" s="543"/>
      <c r="P75" s="543"/>
    </row>
    <row r="76" ht="252" customHeight="1" x14ac:dyDescent="0.25">
      <c r="A76" s="432"/>
      <c r="B76" s="394"/>
      <c r="C76" s="414"/>
      <c r="D76" s="498"/>
      <c r="E76" s="23"/>
      <c r="F76" s="24" t="s">
        <v>336</v>
      </c>
      <c r="G76" s="23"/>
      <c r="H76" s="24"/>
      <c r="I76" s="23"/>
      <c r="J76" s="394"/>
      <c r="K76" s="547"/>
      <c r="L76" s="543"/>
      <c r="M76" s="543"/>
      <c r="N76" s="543"/>
      <c r="O76" s="543"/>
      <c r="P76" s="543"/>
    </row>
    <row r="77" s="32" customFormat="1" ht="28.5" customHeight="1" x14ac:dyDescent="0.25">
      <c r="A77" s="427">
        <v>15</v>
      </c>
      <c r="B77" s="437" t="s">
        <v>240</v>
      </c>
      <c r="C77" s="260"/>
      <c r="D77" s="440" t="s">
        <v>241</v>
      </c>
      <c r="E77" s="33" t="s">
        <v>336</v>
      </c>
      <c r="F77" s="34" t="s">
        <v>53</v>
      </c>
      <c r="G77" s="33" t="s">
        <v>168</v>
      </c>
      <c r="H77" s="34" t="s">
        <v>39</v>
      </c>
      <c r="I77" s="34" t="s">
        <v>242</v>
      </c>
      <c r="J77" s="443" t="s">
        <v>243</v>
      </c>
      <c r="K77" s="547" t="inlineStr">
        <is>
          <t xml:space="preserve">abweichend</t>
        </is>
      </c>
      <c r="L77" s="543" t="inlineStr">
        <is>
          <t xml:space="preserve">2 Std.</t>
        </is>
      </c>
      <c r="M77" s="543" t="inlineStr">
        <is>
          <t xml:space="preserve">monatlich</t>
        </is>
      </c>
      <c r="N77" s="543" t="inlineStr">
        <is>
          <t xml:space="preserve">10</t>
        </is>
      </c>
      <c r="O77" s="543" t="inlineStr">
        <is>
          <t xml:space="preserve">Dauer: Matrix 3 Std., Kalender 2 Std.</t>
        </is>
      </c>
      <c r="P77" s="543" t="inlineStr">
        <is>
          <t xml:space="preserve">Kalender-Wert gilt (Fritsch)</t>
        </is>
      </c>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32" customFormat="1" ht="30" x14ac:dyDescent="0.25">
      <c r="A78" s="428"/>
      <c r="B78" s="438"/>
      <c r="C78" s="261" t="s">
        <v>236</v>
      </c>
      <c r="D78" s="441"/>
      <c r="E78" s="33"/>
      <c r="F78" s="34" t="s">
        <v>174</v>
      </c>
      <c r="G78" s="33"/>
      <c r="H78" s="34"/>
      <c r="I78" s="33"/>
      <c r="J78" s="444"/>
      <c r="K78" s="547"/>
      <c r="L78" s="543"/>
      <c r="M78" s="543"/>
      <c r="N78" s="543"/>
      <c r="O78" s="543"/>
      <c r="P78" s="543"/>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32" customFormat="1" x14ac:dyDescent="0.25">
      <c r="A79" s="428"/>
      <c r="B79" s="438"/>
      <c r="C79" s="261"/>
      <c r="D79" s="441"/>
      <c r="E79" s="33"/>
      <c r="F79" s="34" t="s">
        <v>209</v>
      </c>
      <c r="G79" s="33"/>
      <c r="H79" s="34"/>
      <c r="I79" s="33"/>
      <c r="J79" s="444"/>
      <c r="K79" s="547"/>
      <c r="L79" s="543"/>
      <c r="M79" s="543"/>
      <c r="N79" s="543"/>
      <c r="O79" s="543"/>
      <c r="P79" s="543"/>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32" customFormat="1" x14ac:dyDescent="0.25">
      <c r="A80" s="428"/>
      <c r="B80" s="438"/>
      <c r="C80" s="261"/>
      <c r="D80" s="441"/>
      <c r="E80" s="33"/>
      <c r="F80" s="34" t="s">
        <v>244</v>
      </c>
      <c r="G80" s="33"/>
      <c r="H80" s="34"/>
      <c r="I80" s="33"/>
      <c r="J80" s="444"/>
      <c r="K80" s="547"/>
      <c r="L80" s="543"/>
      <c r="M80" s="543"/>
      <c r="N80" s="543"/>
      <c r="O80" s="543"/>
      <c r="P80" s="543"/>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32" customFormat="1" ht="25.5" customHeight="1" x14ac:dyDescent="0.25">
      <c r="A81" s="429"/>
      <c r="B81" s="439"/>
      <c r="C81" s="262"/>
      <c r="D81" s="442"/>
      <c r="E81" s="33"/>
      <c r="F81" s="220" t="s">
        <v>200</v>
      </c>
      <c r="G81" s="33"/>
      <c r="H81" s="34"/>
      <c r="I81" s="33"/>
      <c r="J81" s="445"/>
      <c r="K81" s="547"/>
      <c r="L81" s="543"/>
      <c r="M81" s="543"/>
      <c r="N81" s="543"/>
      <c r="O81" s="543"/>
      <c r="P81" s="543"/>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32" customFormat="1" ht="30" x14ac:dyDescent="0.25">
      <c r="A82" s="326">
        <v>16</v>
      </c>
      <c r="B82" s="393" t="s">
        <v>245</v>
      </c>
      <c r="C82" s="271"/>
      <c r="D82" s="459" t="s">
        <v>246</v>
      </c>
      <c r="E82" s="22" t="s">
        <v>336</v>
      </c>
      <c r="F82" s="24" t="s">
        <v>247</v>
      </c>
      <c r="G82" s="22" t="s">
        <v>214</v>
      </c>
      <c r="H82" s="40" t="s">
        <v>39</v>
      </c>
      <c r="I82" s="22" t="s">
        <v>226</v>
      </c>
      <c r="J82" s="393"/>
      <c r="K82" s="551" t="inlineStr">
        <is>
          <t xml:space="preserve">zu klären</t>
        </is>
      </c>
      <c r="L82" s="543" t="inlineStr">
        <is>
          <t xml:space="preserve">50 Min.</t>
        </is>
      </c>
      <c r="M82" s="543" t="inlineStr">
        <is>
          <t xml:space="preserve">monatlich</t>
        </is>
      </c>
      <c r="N82" s="543" t="inlineStr">
        <is>
          <t xml:space="preserve">10</t>
        </is>
      </c>
      <c r="O82" s="543" t="inlineStr">
        <is>
          <t xml:space="preserve">Dauer: Matrix 1 Std., Kalender 50 Min. | Rhythmus: Matrix quartalsweise, Kalender monatlich | Zuordnung unsicher: Der Kalender führt „JF Sonnenschein (Immobilien)“ als GF-Termin</t>
        </is>
      </c>
      <c r="P82" s="543" t="inlineStr">
        <is>
          <t xml:space="preserve">offen</t>
        </is>
      </c>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32" customFormat="1" x14ac:dyDescent="0.25">
      <c r="A83" s="327"/>
      <c r="B83" s="393"/>
      <c r="C83" s="271"/>
      <c r="D83" s="459"/>
      <c r="E83" s="23"/>
      <c r="F83" s="24"/>
      <c r="G83" s="23"/>
      <c r="H83" s="24"/>
      <c r="I83" s="23"/>
      <c r="J83" s="393"/>
      <c r="K83" s="551"/>
      <c r="L83" s="543"/>
      <c r="M83" s="543"/>
      <c r="N83" s="543"/>
      <c r="O83" s="543"/>
      <c r="P83" s="54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32" customFormat="1" x14ac:dyDescent="0.25">
      <c r="A84" s="327"/>
      <c r="B84" s="393"/>
      <c r="C84" s="271" t="s">
        <v>229</v>
      </c>
      <c r="D84" s="459"/>
      <c r="E84" s="23"/>
      <c r="F84" s="24"/>
      <c r="G84" s="23"/>
      <c r="H84" s="24"/>
      <c r="I84" s="23"/>
      <c r="J84" s="393"/>
      <c r="K84" s="551"/>
      <c r="L84" s="543"/>
      <c r="M84" s="543"/>
      <c r="N84" s="543"/>
      <c r="O84" s="543"/>
      <c r="P84" s="543"/>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32" customFormat="1" x14ac:dyDescent="0.25">
      <c r="A85" s="327"/>
      <c r="B85" s="393"/>
      <c r="C85" s="271"/>
      <c r="D85" s="459"/>
      <c r="E85" s="23"/>
      <c r="F85" s="24"/>
      <c r="G85" s="23"/>
      <c r="H85" s="24"/>
      <c r="I85" s="23"/>
      <c r="J85" s="393"/>
      <c r="K85" s="551"/>
      <c r="L85" s="543"/>
      <c r="M85" s="543"/>
      <c r="N85" s="543"/>
      <c r="O85" s="543"/>
      <c r="P85" s="543"/>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32" customFormat="1" ht="16.5" customHeight="1" x14ac:dyDescent="0.25">
      <c r="A86" s="327"/>
      <c r="B86" s="393"/>
      <c r="C86" s="271"/>
      <c r="D86" s="459"/>
      <c r="E86" s="23"/>
      <c r="F86" s="24"/>
      <c r="G86" s="23"/>
      <c r="H86" s="24"/>
      <c r="I86" s="23"/>
      <c r="J86" s="393"/>
      <c r="K86" s="551"/>
      <c r="L86" s="543"/>
      <c r="M86" s="543"/>
      <c r="N86" s="543"/>
      <c r="O86" s="543"/>
      <c r="P86" s="543"/>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32" customFormat="1" ht="0.75" hidden="1" customHeight="1" x14ac:dyDescent="0.25">
      <c r="A87" s="327"/>
      <c r="B87" s="393"/>
      <c r="C87" s="271"/>
      <c r="D87" s="459"/>
      <c r="E87" s="23"/>
      <c r="F87" s="24"/>
      <c r="G87" s="23"/>
      <c r="H87" s="24"/>
      <c r="I87" s="23"/>
      <c r="J87" s="393"/>
      <c r="K87" s="551"/>
      <c r="L87" s="543"/>
      <c r="M87" s="543"/>
      <c r="N87" s="543"/>
      <c r="O87" s="543"/>
      <c r="P87" s="543"/>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32" customFormat="1" ht="25.5" customHeight="1" x14ac:dyDescent="0.25">
      <c r="A88" s="328"/>
      <c r="B88" s="394"/>
      <c r="C88" s="271"/>
      <c r="D88" s="460"/>
      <c r="E88" s="23"/>
      <c r="F88" s="24"/>
      <c r="G88" s="23"/>
      <c r="H88" s="24"/>
      <c r="I88" s="23"/>
      <c r="J88" s="394"/>
      <c r="K88" s="551"/>
      <c r="L88" s="543"/>
      <c r="M88" s="543"/>
      <c r="N88" s="543"/>
      <c r="O88" s="543"/>
      <c r="P88" s="543"/>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32" customFormat="1" ht="30" x14ac:dyDescent="0.25">
      <c r="A89" s="326">
        <v>17</v>
      </c>
      <c r="B89" s="487" t="s">
        <v>248</v>
      </c>
      <c r="C89" s="273"/>
      <c r="D89" s="464" t="s">
        <v>249</v>
      </c>
      <c r="E89" s="22" t="s">
        <v>336</v>
      </c>
      <c r="F89"/>
      <c r="G89" s="22" t="s">
        <v>214</v>
      </c>
      <c r="H89" s="40" t="s">
        <v>191</v>
      </c>
      <c r="I89" s="22" t="s">
        <v>226</v>
      </c>
      <c r="J89" s="393"/>
      <c r="K89" s="550" t="inlineStr">
        <is>
          <t xml:space="preserve">ohne GF</t>
        </is>
      </c>
      <c r="L89" s="543" t="inlineStr">
        <is>
          <t xml:space="preserve">—</t>
        </is>
      </c>
      <c r="M89" s="543" t="inlineStr">
        <is>
          <t xml:space="preserve">—</t>
        </is>
      </c>
      <c r="N89" s="543" t="inlineStr">
        <is>
          <t xml:space="preserve">—</t>
        </is>
      </c>
      <c r="O89" s="543"/>
      <c r="P89" s="543" t="inlineStr">
        <is>
          <t xml:space="preserve">—</t>
        </is>
      </c>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32" customFormat="1" x14ac:dyDescent="0.25">
      <c r="A90" s="327"/>
      <c r="B90" s="488"/>
      <c r="C90" s="271"/>
      <c r="D90" s="465"/>
      <c r="E90" s="23"/>
      <c r="F90" s="24" t="s">
        <v>88</v>
      </c>
      <c r="G90" s="23"/>
      <c r="H90" s="24"/>
      <c r="I90" s="23"/>
      <c r="J90" s="393"/>
      <c r="K90" s="550"/>
      <c r="L90" s="543"/>
      <c r="M90" s="543"/>
      <c r="N90" s="543"/>
      <c r="O90" s="543"/>
      <c r="P90" s="543"/>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32" customFormat="1" x14ac:dyDescent="0.25">
      <c r="A91" s="327"/>
      <c r="B91" s="488"/>
      <c r="C91" s="271"/>
      <c r="D91" s="465"/>
      <c r="E91" s="23"/>
      <c r="F91" s="24" t="s">
        <v>250</v>
      </c>
      <c r="G91" s="23"/>
      <c r="H91" s="24"/>
      <c r="I91" s="23"/>
      <c r="J91" s="393"/>
      <c r="K91" s="550"/>
      <c r="L91" s="543"/>
      <c r="M91" s="543"/>
      <c r="N91" s="543"/>
      <c r="O91" s="543"/>
      <c r="P91" s="543"/>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32" customFormat="1" ht="33" customHeight="1" x14ac:dyDescent="0.25">
      <c r="A92" s="327"/>
      <c r="B92" s="488"/>
      <c r="C92" s="271"/>
      <c r="D92" s="465"/>
      <c r="E92" s="23"/>
      <c r="F92" s="24" t="s">
        <v>251</v>
      </c>
      <c r="G92" s="23"/>
      <c r="H92" s="24"/>
      <c r="I92" s="23"/>
      <c r="J92" s="393"/>
      <c r="K92" s="550"/>
      <c r="L92" s="543"/>
      <c r="M92" s="543"/>
      <c r="N92" s="543"/>
      <c r="O92" s="543"/>
      <c r="P92" s="543"/>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32" customFormat="1" ht="30" customHeight="1" x14ac:dyDescent="0.25">
      <c r="A93" s="327"/>
      <c r="B93" s="488"/>
      <c r="C93" s="271"/>
      <c r="D93" s="465"/>
      <c r="E93" s="23"/>
      <c r="F93" s="24" t="s">
        <v>252</v>
      </c>
      <c r="G93" s="23"/>
      <c r="H93" s="24"/>
      <c r="I93" s="23"/>
      <c r="J93" s="393"/>
      <c r="K93" s="550"/>
      <c r="L93" s="543"/>
      <c r="M93" s="543"/>
      <c r="N93" s="543"/>
      <c r="O93" s="543"/>
      <c r="P93" s="54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32" customFormat="1" ht="0.75" hidden="1" customHeight="1" x14ac:dyDescent="0.25">
      <c r="A94" s="327"/>
      <c r="B94" s="488"/>
      <c r="C94" s="271"/>
      <c r="D94" s="465"/>
      <c r="E94" s="23"/>
      <c r="F94" s="24"/>
      <c r="G94" s="23"/>
      <c r="H94" s="24"/>
      <c r="I94" s="23"/>
      <c r="J94" s="393"/>
      <c r="K94" s="550"/>
      <c r="L94" s="543"/>
      <c r="M94" s="543"/>
      <c r="N94" s="543"/>
      <c r="O94" s="543"/>
      <c r="P94" s="543"/>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32" customFormat="1" ht="25.5" customHeight="1" x14ac:dyDescent="0.25">
      <c r="A95" s="328"/>
      <c r="B95" s="489"/>
      <c r="C95" s="272"/>
      <c r="D95" s="466"/>
      <c r="E95" s="23"/>
      <c r="F95" s="24"/>
      <c r="G95" s="23"/>
      <c r="H95" s="24"/>
      <c r="I95" s="23"/>
      <c r="J95" s="394"/>
      <c r="K95" s="550"/>
      <c r="L95" s="543"/>
      <c r="M95" s="543"/>
      <c r="N95" s="543"/>
      <c r="O95" s="543"/>
      <c r="P95" s="543"/>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32" customFormat="1" x14ac:dyDescent="0.25">
      <c r="A96" s="433">
        <v>18</v>
      </c>
      <c r="B96" s="437" t="s">
        <v>253</v>
      </c>
      <c r="C96" s="261"/>
      <c r="D96" s="440" t="s">
        <v>254</v>
      </c>
      <c r="E96" s="84" t="s">
        <v>336</v>
      </c>
      <c r="F96" s="34" t="s">
        <v>209</v>
      </c>
      <c r="G96" s="84" t="s">
        <v>214</v>
      </c>
      <c r="H96" s="85" t="s">
        <v>39</v>
      </c>
      <c r="I96" s="84" t="s">
        <v>226</v>
      </c>
      <c r="J96" s="438"/>
      <c r="K96" s="550" t="inlineStr">
        <is>
          <t xml:space="preserve">ohne GF</t>
        </is>
      </c>
      <c r="L96" s="543" t="inlineStr">
        <is>
          <t xml:space="preserve">—</t>
        </is>
      </c>
      <c r="M96" s="543" t="inlineStr">
        <is>
          <t xml:space="preserve">—</t>
        </is>
      </c>
      <c r="N96" s="543" t="inlineStr">
        <is>
          <t xml:space="preserve">—</t>
        </is>
      </c>
      <c r="O96" s="543"/>
      <c r="P96" s="543" t="inlineStr">
        <is>
          <t xml:space="preserve">—</t>
        </is>
      </c>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32" customFormat="1" x14ac:dyDescent="0.25">
      <c r="A97" s="433"/>
      <c r="B97" s="438"/>
      <c r="C97" s="261"/>
      <c r="D97" s="441"/>
      <c r="E97" s="33"/>
      <c r="F97" s="34"/>
      <c r="G97" s="33"/>
      <c r="H97" s="34"/>
      <c r="I97" s="33"/>
      <c r="J97" s="438"/>
      <c r="K97" s="550"/>
      <c r="L97" s="543"/>
      <c r="M97" s="543"/>
      <c r="N97" s="543"/>
      <c r="O97" s="543"/>
      <c r="P97" s="543"/>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32" customFormat="1" x14ac:dyDescent="0.25">
      <c r="A98" s="433"/>
      <c r="B98" s="438"/>
      <c r="C98" s="261"/>
      <c r="D98" s="441"/>
      <c r="E98" s="33"/>
      <c r="F98" s="34"/>
      <c r="G98" s="33"/>
      <c r="H98" s="34"/>
      <c r="I98" s="33"/>
      <c r="J98" s="438"/>
      <c r="K98" s="550"/>
      <c r="L98" s="543"/>
      <c r="M98" s="543"/>
      <c r="N98" s="543"/>
      <c r="O98" s="543"/>
      <c r="P98" s="543"/>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32" customFormat="1" x14ac:dyDescent="0.25">
      <c r="A99" s="433"/>
      <c r="B99" s="438"/>
      <c r="C99" s="261"/>
      <c r="D99" s="441"/>
      <c r="E99" s="33"/>
      <c r="F99" s="34"/>
      <c r="G99" s="33"/>
      <c r="H99" s="34"/>
      <c r="I99" s="33"/>
      <c r="J99" s="438"/>
      <c r="K99" s="550"/>
      <c r="L99" s="543"/>
      <c r="M99" s="543"/>
      <c r="N99" s="543"/>
      <c r="O99" s="543"/>
      <c r="P99" s="543"/>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32" customFormat="1" ht="16.5" customHeight="1" x14ac:dyDescent="0.25">
      <c r="A100" s="433"/>
      <c r="B100" s="438"/>
      <c r="C100" s="261"/>
      <c r="D100" s="441"/>
      <c r="E100" s="33"/>
      <c r="F100" s="34"/>
      <c r="G100" s="33"/>
      <c r="H100" s="34"/>
      <c r="I100" s="33"/>
      <c r="J100" s="438"/>
      <c r="K100" s="550"/>
      <c r="L100" s="543"/>
      <c r="M100" s="543"/>
      <c r="N100" s="543"/>
      <c r="O100" s="543"/>
      <c r="P100" s="543"/>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32" customFormat="1" ht="0.75" hidden="1" customHeight="1" x14ac:dyDescent="0.25">
      <c r="A101" s="433"/>
      <c r="B101" s="438"/>
      <c r="C101" s="261"/>
      <c r="D101" s="441"/>
      <c r="E101" s="33"/>
      <c r="F101" s="34"/>
      <c r="G101" s="33"/>
      <c r="H101" s="34"/>
      <c r="I101" s="33"/>
      <c r="J101" s="438"/>
      <c r="K101" s="550"/>
      <c r="L101" s="543"/>
      <c r="M101" s="543"/>
      <c r="N101" s="543"/>
      <c r="O101" s="543"/>
      <c r="P101" s="543"/>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32" customFormat="1" ht="15" customHeight="1" x14ac:dyDescent="0.25">
      <c r="A102" s="433"/>
      <c r="B102" s="439"/>
      <c r="C102" s="261"/>
      <c r="D102" s="442"/>
      <c r="E102" s="33"/>
      <c r="F102" s="34"/>
      <c r="G102" s="33"/>
      <c r="H102" s="34"/>
      <c r="I102" s="33"/>
      <c r="J102" s="439"/>
      <c r="K102" s="550"/>
      <c r="L102" s="543"/>
      <c r="M102" s="543"/>
      <c r="N102" s="543"/>
      <c r="O102" s="543"/>
      <c r="P102" s="543"/>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ht="15" customHeight="1" x14ac:dyDescent="0.25">
      <c r="A103" s="326">
        <v>19</v>
      </c>
      <c r="B103" s="487" t="s">
        <v>255</v>
      </c>
      <c r="C103" s="412" t="s">
        <v>236</v>
      </c>
      <c r="D103" s="464" t="s">
        <v>256</v>
      </c>
      <c r="E103" s="23" t="s">
        <v>209</v>
      </c>
      <c r="F103" s="24" t="s">
        <v>167</v>
      </c>
      <c r="G103" s="23" t="s">
        <v>214</v>
      </c>
      <c r="H103" s="24" t="s">
        <v>39</v>
      </c>
      <c r="I103" s="23" t="s">
        <v>226</v>
      </c>
      <c r="J103" s="461" t="s">
        <v>257</v>
      </c>
      <c r="K103" s="547" t="inlineStr">
        <is>
          <t xml:space="preserve">abweichend</t>
        </is>
      </c>
      <c r="L103" s="543" t="inlineStr">
        <is>
          <t xml:space="preserve">2 Std.</t>
        </is>
      </c>
      <c r="M103" s="543" t="inlineStr">
        <is>
          <t xml:space="preserve">quartalsweise</t>
        </is>
      </c>
      <c r="N103" s="543" t="inlineStr">
        <is>
          <t xml:space="preserve">4</t>
        </is>
      </c>
      <c r="O103" s="543" t="inlineStr">
        <is>
          <t xml:space="preserve">Dauer: Matrix 3 Std., Kalender 2 Std.</t>
        </is>
      </c>
      <c r="P103" s="543" t="inlineStr">
        <is>
          <t xml:space="preserve">Kalender-Wert gilt (Fritsch)</t>
        </is>
      </c>
    </row>
    <row r="104" ht="33" customHeight="1" x14ac:dyDescent="0.25">
      <c r="A104" s="327"/>
      <c r="B104" s="488"/>
      <c r="C104" s="413"/>
      <c r="D104" s="465"/>
      <c r="E104" s="23"/>
      <c r="F104" s="24" t="s">
        <v>174</v>
      </c>
      <c r="G104" s="23"/>
      <c r="H104" s="24"/>
      <c r="I104" s="23"/>
      <c r="J104" s="459"/>
      <c r="K104" s="547"/>
      <c r="L104" s="543"/>
      <c r="M104" s="543"/>
      <c r="N104" s="543"/>
      <c r="O104" s="543"/>
      <c r="P104" s="543"/>
    </row>
    <row r="105" x14ac:dyDescent="0.25">
      <c r="A105" s="327"/>
      <c r="B105" s="488"/>
      <c r="C105" s="413"/>
      <c r="D105" s="465"/>
      <c r="E105" s="23"/>
      <c r="F105" s="24" t="s">
        <v>53</v>
      </c>
      <c r="G105" s="23"/>
      <c r="H105" s="24"/>
      <c r="I105" s="23"/>
      <c r="J105" s="459"/>
      <c r="K105" s="547"/>
      <c r="L105" s="543"/>
      <c r="M105" s="543"/>
      <c r="N105" s="543"/>
      <c r="O105" s="543"/>
      <c r="P105" s="543"/>
    </row>
    <row r="106" x14ac:dyDescent="0.25">
      <c r="A106" s="327"/>
      <c r="B106" s="488"/>
      <c r="C106" s="413"/>
      <c r="D106" s="465"/>
      <c r="E106" s="23"/>
      <c r="F106" s="24"/>
      <c r="G106" s="23"/>
      <c r="H106" s="24"/>
      <c r="I106" s="23"/>
      <c r="J106" s="459"/>
      <c r="K106" s="547"/>
      <c r="L106" s="543"/>
      <c r="M106" s="543"/>
      <c r="N106" s="543"/>
      <c r="O106" s="543"/>
      <c r="P106" s="543"/>
    </row>
    <row r="107" ht="325.14999999999998" customHeight="1" x14ac:dyDescent="0.25">
      <c r="A107" s="328"/>
      <c r="B107" s="488"/>
      <c r="C107" s="414"/>
      <c r="D107" s="465"/>
      <c r="E107" s="82"/>
      <c r="F107" s="120"/>
      <c r="G107" s="121"/>
      <c r="H107" s="120"/>
      <c r="I107" s="121"/>
      <c r="J107" s="459"/>
      <c r="K107" s="547"/>
      <c r="L107" s="543"/>
      <c r="M107" s="543"/>
      <c r="N107" s="543"/>
      <c r="O107" s="543"/>
      <c r="P107" s="543"/>
    </row>
    <row r="108" ht="107.65" customHeight="1" x14ac:dyDescent="0.25">
      <c r="A108" s="151">
        <v>20</v>
      </c>
      <c r="B108" s="95" t="s">
        <v>258</v>
      </c>
      <c r="C108" s="117">
        <v>1.5</v>
      </c>
      <c r="D108" s="98" t="s">
        <v>259</v>
      </c>
      <c r="E108" s="23" t="s">
        <v>336</v>
      </c>
      <c r="F108" s="24" t="s">
        <v>209</v>
      </c>
      <c r="G108" s="23" t="s">
        <v>190</v>
      </c>
      <c r="H108" s="24" t="s">
        <v>169</v>
      </c>
      <c r="I108" s="23"/>
      <c r="J108" s="95"/>
      <c r="K108" s="550" t="inlineStr">
        <is>
          <t xml:space="preserve">ohne GF</t>
        </is>
      </c>
      <c r="L108" s="543" t="inlineStr">
        <is>
          <t xml:space="preserve">—</t>
        </is>
      </c>
      <c r="M108" s="543" t="inlineStr">
        <is>
          <t xml:space="preserve">—</t>
        </is>
      </c>
      <c r="N108" s="543" t="inlineStr">
        <is>
          <t xml:space="preserve">—</t>
        </is>
      </c>
      <c r="O108" s="543"/>
      <c r="P108" s="543" t="inlineStr">
        <is>
          <t xml:space="preserve">—</t>
        </is>
      </c>
    </row>
    <row r="109" s="32" customFormat="1" ht="27.75" customHeight="1" x14ac:dyDescent="0.25">
      <c r="A109" s="427">
        <v>21</v>
      </c>
      <c r="B109" s="438" t="s">
        <v>260</v>
      </c>
      <c r="C109" s="261"/>
      <c r="D109" s="501" t="s">
        <v>261</v>
      </c>
      <c r="E109" s="33" t="s">
        <v>336</v>
      </c>
      <c r="F109" s="96" t="s">
        <v>53</v>
      </c>
      <c r="G109" s="97" t="s">
        <v>262</v>
      </c>
      <c r="H109" s="96" t="s">
        <v>191</v>
      </c>
      <c r="I109" s="84" t="s">
        <v>226</v>
      </c>
      <c r="J109" s="499" t="s">
        <v>263</v>
      </c>
      <c r="K109" s="547" t="inlineStr">
        <is>
          <t xml:space="preserve">abweichend</t>
        </is>
      </c>
      <c r="L109" s="543" t="inlineStr">
        <is>
          <t xml:space="preserve">2 Std.</t>
        </is>
      </c>
      <c r="M109" s="543" t="inlineStr">
        <is>
          <t xml:space="preserve">alle 2 Monate</t>
        </is>
      </c>
      <c r="N109" s="543" t="inlineStr">
        <is>
          <t xml:space="preserve">5</t>
        </is>
      </c>
      <c r="O109" s="543" t="inlineStr">
        <is>
          <t xml:space="preserve">Dauer: Matrix 3 Std., Kalender 2 Std.</t>
        </is>
      </c>
      <c r="P109" s="543" t="inlineStr">
        <is>
          <t xml:space="preserve">Kalender-Wert gilt (Fritsch)</t>
        </is>
      </c>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32" customFormat="1" ht="30" x14ac:dyDescent="0.25">
      <c r="A110" s="428"/>
      <c r="B110" s="438"/>
      <c r="C110" s="261"/>
      <c r="D110" s="501"/>
      <c r="E110" s="33"/>
      <c r="F110" s="34" t="s">
        <v>174</v>
      </c>
      <c r="G110" s="33"/>
      <c r="H110" s="34"/>
      <c r="I110" s="33"/>
      <c r="J110" s="499"/>
      <c r="K110" s="547"/>
      <c r="L110" s="543"/>
      <c r="M110" s="543"/>
      <c r="N110" s="543"/>
      <c r="O110" s="543"/>
      <c r="P110" s="543"/>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32" customFormat="1" ht="24.75" customHeight="1" x14ac:dyDescent="0.25">
      <c r="A111" s="428"/>
      <c r="B111" s="438"/>
      <c r="C111" s="261"/>
      <c r="D111" s="501"/>
      <c r="E111" s="33"/>
      <c r="F111" s="34" t="s">
        <v>167</v>
      </c>
      <c r="G111" s="33"/>
      <c r="H111" s="34"/>
      <c r="I111" s="33"/>
      <c r="J111" s="499"/>
      <c r="K111" s="547"/>
      <c r="L111" s="543"/>
      <c r="M111" s="543"/>
      <c r="N111" s="543"/>
      <c r="O111" s="543"/>
      <c r="P111" s="543"/>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32" customFormat="1" ht="26.25" customHeight="1" x14ac:dyDescent="0.25">
      <c r="A112" s="428"/>
      <c r="B112" s="438"/>
      <c r="C112" s="261" t="s">
        <v>236</v>
      </c>
      <c r="D112" s="501"/>
      <c r="E112" s="33"/>
      <c r="F112" s="34" t="s">
        <v>213</v>
      </c>
      <c r="G112" s="33"/>
      <c r="H112" s="34"/>
      <c r="I112" s="33"/>
      <c r="J112" s="499"/>
      <c r="K112" s="547"/>
      <c r="L112" s="543"/>
      <c r="M112" s="543"/>
      <c r="N112" s="543"/>
      <c r="O112" s="543"/>
      <c r="P112" s="543"/>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32" customFormat="1" x14ac:dyDescent="0.25">
      <c r="A113" s="428"/>
      <c r="B113" s="438"/>
      <c r="C113" s="261"/>
      <c r="D113" s="501"/>
      <c r="E113" s="33"/>
      <c r="F113" s="34" t="s">
        <v>337</v>
      </c>
      <c r="G113" s="33"/>
      <c r="H113" s="34"/>
      <c r="I113" s="33"/>
      <c r="J113" s="499"/>
      <c r="K113" s="547"/>
      <c r="L113" s="543"/>
      <c r="M113" s="543"/>
      <c r="N113" s="543"/>
      <c r="O113" s="543"/>
      <c r="P113" s="54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32" customFormat="1" x14ac:dyDescent="0.25">
      <c r="A114" s="428"/>
      <c r="B114" s="438"/>
      <c r="C114" s="261"/>
      <c r="D114" s="501"/>
      <c r="E114" s="33"/>
      <c r="F114" s="220" t="s">
        <v>200</v>
      </c>
      <c r="G114" s="33"/>
      <c r="H114" s="34"/>
      <c r="I114" s="33"/>
      <c r="J114" s="499"/>
      <c r="K114" s="547"/>
      <c r="L114" s="543"/>
      <c r="M114" s="543"/>
      <c r="N114" s="543"/>
      <c r="O114" s="543"/>
      <c r="P114" s="543"/>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32" customFormat="1" ht="30" x14ac:dyDescent="0.25">
      <c r="A115" s="428"/>
      <c r="B115" s="438"/>
      <c r="C115" s="261"/>
      <c r="D115" s="501"/>
      <c r="E115" s="33"/>
      <c r="F115" s="220" t="s">
        <v>73</v>
      </c>
      <c r="G115" s="33"/>
      <c r="H115" s="34"/>
      <c r="I115" s="33"/>
      <c r="J115" s="499"/>
      <c r="K115" s="547"/>
      <c r="L115" s="543"/>
      <c r="M115" s="543"/>
      <c r="N115" s="543"/>
      <c r="O115" s="543"/>
      <c r="P115" s="543"/>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32" customFormat="1" ht="23.25" customHeight="1" x14ac:dyDescent="0.25">
      <c r="A116" s="429"/>
      <c r="B116" s="439"/>
      <c r="C116" s="262"/>
      <c r="D116" s="502"/>
      <c r="E116" s="33"/>
      <c r="F116" s="34" t="s">
        <v>209</v>
      </c>
      <c r="G116" s="33"/>
      <c r="H116" s="34"/>
      <c r="I116" s="33"/>
      <c r="J116" s="500"/>
      <c r="K116" s="547"/>
      <c r="L116" s="543"/>
      <c r="M116" s="543"/>
      <c r="N116" s="543"/>
      <c r="O116" s="543"/>
      <c r="P116" s="543"/>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ht="30" customHeight="1" x14ac:dyDescent="0.25">
      <c r="A117" s="430">
        <v>22</v>
      </c>
      <c r="B117" s="392" t="s">
        <v>264</v>
      </c>
      <c r="C117" s="273"/>
      <c r="D117" s="458" t="s">
        <v>265</v>
      </c>
      <c r="E117" s="23" t="s">
        <v>336</v>
      </c>
      <c r="F117" s="24" t="s">
        <v>209</v>
      </c>
      <c r="G117" s="23" t="s">
        <v>190</v>
      </c>
      <c r="H117" s="24" t="s">
        <v>169</v>
      </c>
      <c r="I117" s="23"/>
      <c r="J117" s="392" t="s">
        <v>266</v>
      </c>
      <c r="K117" s="550" t="inlineStr">
        <is>
          <t xml:space="preserve">ohne GF</t>
        </is>
      </c>
      <c r="L117" s="543" t="inlineStr">
        <is>
          <t xml:space="preserve">—</t>
        </is>
      </c>
      <c r="M117" s="543" t="inlineStr">
        <is>
          <t xml:space="preserve">—</t>
        </is>
      </c>
      <c r="N117" s="543" t="inlineStr">
        <is>
          <t xml:space="preserve">—</t>
        </is>
      </c>
      <c r="O117" s="543"/>
      <c r="P117" s="543" t="inlineStr">
        <is>
          <t xml:space="preserve">—</t>
        </is>
      </c>
    </row>
    <row r="118" ht="27.75" customHeight="1" x14ac:dyDescent="0.25">
      <c r="A118" s="431"/>
      <c r="B118" s="393"/>
      <c r="C118" s="271" t="s">
        <v>194</v>
      </c>
      <c r="D118" s="459"/>
      <c r="E118" s="99"/>
      <c r="F118" s="24" t="s">
        <v>209</v>
      </c>
      <c r="G118" s="23" t="s">
        <v>168</v>
      </c>
      <c r="H118" s="24" t="s">
        <v>169</v>
      </c>
      <c r="I118" s="23" t="s">
        <v>226</v>
      </c>
      <c r="J118" s="393"/>
      <c r="K118" s="550"/>
      <c r="L118" s="543"/>
      <c r="M118" s="543"/>
      <c r="N118" s="543"/>
      <c r="O118" s="543"/>
      <c r="P118" s="543"/>
    </row>
    <row r="119" x14ac:dyDescent="0.25">
      <c r="A119" s="431"/>
      <c r="B119" s="393"/>
      <c r="C119" s="271"/>
      <c r="D119" s="459"/>
      <c r="E119" s="23"/>
      <c r="F119" s="224" t="s">
        <v>200</v>
      </c>
      <c r="G119" s="23"/>
      <c r="H119" s="24"/>
      <c r="I119" s="3"/>
      <c r="J119" s="393"/>
      <c r="K119" s="550"/>
      <c r="L119" s="543"/>
      <c r="M119" s="543"/>
      <c r="N119" s="543"/>
      <c r="O119" s="543"/>
      <c r="P119" s="543"/>
    </row>
    <row r="120" x14ac:dyDescent="0.25">
      <c r="A120" s="431"/>
      <c r="B120" s="393"/>
      <c r="C120" s="271"/>
      <c r="D120" s="459"/>
      <c r="E120" s="23"/>
      <c r="F120" s="24"/>
      <c r="G120" s="23"/>
      <c r="H120" s="24"/>
      <c r="I120" s="3"/>
      <c r="J120" s="393"/>
      <c r="K120" s="550"/>
      <c r="L120" s="543"/>
      <c r="M120" s="543"/>
      <c r="N120" s="543"/>
      <c r="O120" s="543"/>
      <c r="P120" s="543"/>
    </row>
    <row r="121" x14ac:dyDescent="0.25">
      <c r="A121" s="432"/>
      <c r="B121" s="394"/>
      <c r="C121" s="272"/>
      <c r="D121" s="460"/>
      <c r="E121" s="23"/>
      <c r="F121" s="24"/>
      <c r="G121" s="23"/>
      <c r="H121" s="24"/>
      <c r="I121" s="3"/>
      <c r="J121" s="394"/>
      <c r="K121" s="550"/>
      <c r="L121" s="543"/>
      <c r="M121" s="543"/>
      <c r="N121" s="543"/>
      <c r="O121" s="543"/>
      <c r="P121" s="543"/>
    </row>
    <row r="122" ht="84" customHeight="1" x14ac:dyDescent="0.25">
      <c r="A122" s="418">
        <v>23</v>
      </c>
      <c r="B122" s="437" t="s">
        <v>267</v>
      </c>
      <c r="C122" s="260"/>
      <c r="D122" s="440" t="s">
        <v>268</v>
      </c>
      <c r="E122" s="33" t="s">
        <v>336</v>
      </c>
      <c r="F122" s="34" t="s">
        <v>336</v>
      </c>
      <c r="G122" s="33" t="s">
        <v>214</v>
      </c>
      <c r="H122" s="34" t="s">
        <v>220</v>
      </c>
      <c r="I122" s="33" t="s">
        <v>226</v>
      </c>
      <c r="J122" s="443" t="s">
        <v>269</v>
      </c>
      <c r="K122" s="550" t="inlineStr">
        <is>
          <t xml:space="preserve">ohne GF</t>
        </is>
      </c>
      <c r="L122" s="543" t="inlineStr">
        <is>
          <t xml:space="preserve">—</t>
        </is>
      </c>
      <c r="M122" s="543" t="inlineStr">
        <is>
          <t xml:space="preserve">—</t>
        </is>
      </c>
      <c r="N122" s="543" t="inlineStr">
        <is>
          <t xml:space="preserve">—</t>
        </is>
      </c>
      <c r="O122" s="543"/>
      <c r="P122" s="543" t="inlineStr">
        <is>
          <t xml:space="preserve">—</t>
        </is>
      </c>
    </row>
    <row r="123" ht="38.25" customHeight="1" x14ac:dyDescent="0.25">
      <c r="A123" s="419"/>
      <c r="B123" s="438"/>
      <c r="C123" s="261"/>
      <c r="D123" s="441"/>
      <c r="E123" s="33"/>
      <c r="F123" s="34" t="s">
        <v>209</v>
      </c>
      <c r="G123" s="33"/>
      <c r="H123" s="34"/>
      <c r="I123" s="35"/>
      <c r="J123" s="444"/>
      <c r="K123" s="550"/>
      <c r="L123" s="543"/>
      <c r="M123" s="543"/>
      <c r="N123" s="543"/>
      <c r="O123" s="543"/>
      <c r="P123" s="543"/>
    </row>
    <row r="124" ht="33.75" customHeight="1" x14ac:dyDescent="0.25">
      <c r="A124" s="419"/>
      <c r="B124" s="438"/>
      <c r="C124" s="261"/>
      <c r="D124" s="441"/>
      <c r="E124" s="33"/>
      <c r="F124" s="34" t="s">
        <v>213</v>
      </c>
      <c r="G124" s="33"/>
      <c r="H124" s="34"/>
      <c r="I124" s="35"/>
      <c r="J124" s="444"/>
      <c r="K124" s="550"/>
      <c r="L124" s="543"/>
      <c r="M124" s="543"/>
      <c r="N124" s="543"/>
      <c r="O124" s="543"/>
      <c r="P124" s="543"/>
    </row>
    <row r="125" ht="36" customHeight="1" x14ac:dyDescent="0.25">
      <c r="A125" s="419"/>
      <c r="B125" s="438"/>
      <c r="C125" s="261"/>
      <c r="D125" s="441"/>
      <c r="E125" s="33"/>
      <c r="F125" s="34"/>
      <c r="G125" s="33"/>
      <c r="H125" s="34"/>
      <c r="I125" s="35"/>
      <c r="J125" s="444"/>
      <c r="K125" s="550"/>
      <c r="L125" s="543"/>
      <c r="M125" s="543"/>
      <c r="N125" s="543"/>
      <c r="O125" s="543"/>
      <c r="P125" s="543"/>
    </row>
    <row r="126" ht="60.75" customHeight="1" x14ac:dyDescent="0.25">
      <c r="A126" s="420"/>
      <c r="B126" s="439"/>
      <c r="C126" s="262"/>
      <c r="D126" s="442"/>
      <c r="E126" s="33"/>
      <c r="F126" s="34"/>
      <c r="G126" s="33"/>
      <c r="H126" s="34"/>
      <c r="I126" s="35"/>
      <c r="J126" s="445"/>
      <c r="K126" s="550"/>
      <c r="L126" s="543"/>
      <c r="M126" s="543"/>
      <c r="N126" s="543"/>
      <c r="O126" s="543"/>
      <c r="P126" s="543"/>
    </row>
    <row r="127" s="32" customFormat="1" x14ac:dyDescent="0.25">
      <c r="A127" s="326">
        <v>24</v>
      </c>
      <c r="B127" s="392" t="s">
        <v>270</v>
      </c>
      <c r="C127" s="273"/>
      <c r="D127" s="458" t="s">
        <v>271</v>
      </c>
      <c r="E127" s="23" t="s">
        <v>336</v>
      </c>
      <c r="F127" s="24" t="s">
        <v>337</v>
      </c>
      <c r="G127" s="23" t="s">
        <v>168</v>
      </c>
      <c r="H127" s="24" t="s">
        <v>169</v>
      </c>
      <c r="I127" s="23" t="s">
        <v>226</v>
      </c>
      <c r="J127" s="392" t="s">
        <v>272</v>
      </c>
      <c r="K127" s="550" t="inlineStr">
        <is>
          <t xml:space="preserve">ohne GF</t>
        </is>
      </c>
      <c r="L127" s="543" t="inlineStr">
        <is>
          <t xml:space="preserve">—</t>
        </is>
      </c>
      <c r="M127" s="543" t="inlineStr">
        <is>
          <t xml:space="preserve">—</t>
        </is>
      </c>
      <c r="N127" s="543" t="inlineStr">
        <is>
          <t xml:space="preserve">—</t>
        </is>
      </c>
      <c r="O127" s="543"/>
      <c r="P127" s="543" t="inlineStr">
        <is>
          <t xml:space="preserve">—</t>
        </is>
      </c>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32" customFormat="1" x14ac:dyDescent="0.25">
      <c r="A128" s="327"/>
      <c r="B128" s="393"/>
      <c r="C128" s="271"/>
      <c r="D128" s="459"/>
      <c r="E128" s="23"/>
      <c r="F128" s="24" t="s">
        <v>209</v>
      </c>
      <c r="G128" s="23"/>
      <c r="H128" s="24"/>
      <c r="I128" s="3"/>
      <c r="J128" s="393"/>
      <c r="K128" s="550"/>
      <c r="L128" s="543"/>
      <c r="M128" s="543"/>
      <c r="N128" s="543"/>
      <c r="O128" s="543"/>
      <c r="P128" s="543"/>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32" customFormat="1" x14ac:dyDescent="0.25">
      <c r="A129" s="327"/>
      <c r="B129" s="393"/>
      <c r="C129" s="271"/>
      <c r="D129" s="459"/>
      <c r="E129" s="23"/>
      <c r="F129" s="24"/>
      <c r="G129" s="23"/>
      <c r="H129" s="24"/>
      <c r="I129" s="3"/>
      <c r="J129" s="393"/>
      <c r="K129" s="550"/>
      <c r="L129" s="543"/>
      <c r="M129" s="543"/>
      <c r="N129" s="543"/>
      <c r="O129" s="543"/>
      <c r="P129" s="543"/>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32" customFormat="1" x14ac:dyDescent="0.25">
      <c r="A130" s="327"/>
      <c r="B130" s="393"/>
      <c r="C130" s="271"/>
      <c r="D130" s="459"/>
      <c r="E130" s="23"/>
      <c r="F130" s="24"/>
      <c r="G130" s="23"/>
      <c r="H130" s="24"/>
      <c r="I130" s="3"/>
      <c r="J130" s="393"/>
      <c r="K130" s="550"/>
      <c r="L130" s="543"/>
      <c r="M130" s="543"/>
      <c r="N130" s="543"/>
      <c r="O130" s="543"/>
      <c r="P130" s="543"/>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32" customFormat="1" ht="13.5" customHeight="1" x14ac:dyDescent="0.25">
      <c r="A131" s="328"/>
      <c r="B131" s="394"/>
      <c r="C131" s="272"/>
      <c r="D131" s="460"/>
      <c r="E131" s="23"/>
      <c r="F131" s="24"/>
      <c r="G131" s="23"/>
      <c r="H131" s="24"/>
      <c r="I131" s="3"/>
      <c r="J131" s="394"/>
      <c r="K131" s="550"/>
      <c r="L131" s="543"/>
      <c r="M131" s="543"/>
      <c r="N131" s="543"/>
      <c r="O131" s="543"/>
      <c r="P131" s="543"/>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ht="99.75" customHeight="1" thickBot="1" x14ac:dyDescent="0.3">
      <c r="A132" s="427">
        <v>25</v>
      </c>
      <c r="B132" s="493" t="s">
        <v>273</v>
      </c>
      <c r="C132" s="288" t="s">
        <v>183</v>
      </c>
      <c r="D132" s="100" t="s">
        <v>274</v>
      </c>
      <c r="E132" s="101" t="s">
        <v>53</v>
      </c>
      <c r="F132" s="102" t="s">
        <v>174</v>
      </c>
      <c r="G132" s="103" t="s">
        <v>219</v>
      </c>
      <c r="H132" s="102" t="s">
        <v>191</v>
      </c>
      <c r="I132" s="104" t="s">
        <v>226</v>
      </c>
      <c r="J132" s="494" t="s">
        <v>275</v>
      </c>
      <c r="K132" s="548" t="inlineStr">
        <is>
          <t xml:space="preserve">fehlt im Kalender</t>
        </is>
      </c>
      <c r="L132" s="543" t="inlineStr">
        <is>
          <t xml:space="preserve">—</t>
        </is>
      </c>
      <c r="M132" s="543" t="inlineStr">
        <is>
          <t xml:space="preserve">—</t>
        </is>
      </c>
      <c r="N132" s="543" t="inlineStr">
        <is>
          <t xml:space="preserve">—</t>
        </is>
      </c>
      <c r="O132" s="543" t="inlineStr">
        <is>
          <t xml:space="preserve">kein Termin im Kalender</t>
        </is>
      </c>
      <c r="P132" s="543" t="inlineStr">
        <is>
          <t xml:space="preserve">offen</t>
        </is>
      </c>
    </row>
    <row r="133" ht="150.75" thickBot="1" x14ac:dyDescent="0.3">
      <c r="A133" s="428"/>
      <c r="B133" s="493"/>
      <c r="C133" s="288" t="s">
        <v>183</v>
      </c>
      <c r="D133" s="110" t="s">
        <v>276</v>
      </c>
      <c r="E133" s="111" t="s">
        <v>53</v>
      </c>
      <c r="F133" s="112" t="s">
        <v>337</v>
      </c>
      <c r="G133" s="113" t="s">
        <v>219</v>
      </c>
      <c r="H133" s="112" t="s">
        <v>191</v>
      </c>
      <c r="I133" s="114" t="s">
        <v>226</v>
      </c>
      <c r="J133" s="495"/>
      <c r="K133" s="548" t="inlineStr">
        <is>
          <t xml:space="preserve">fehlt im Kalender</t>
        </is>
      </c>
      <c r="L133" s="543" t="inlineStr">
        <is>
          <t xml:space="preserve">—</t>
        </is>
      </c>
      <c r="M133" s="543" t="inlineStr">
        <is>
          <t xml:space="preserve">—</t>
        </is>
      </c>
      <c r="N133" s="543" t="inlineStr">
        <is>
          <t xml:space="preserve">—</t>
        </is>
      </c>
      <c r="O133" s="543" t="inlineStr">
        <is>
          <t xml:space="preserve">kein Termin im Kalender</t>
        </is>
      </c>
      <c r="P133" s="543" t="inlineStr">
        <is>
          <t xml:space="preserve">offen</t>
        </is>
      </c>
    </row>
    <row r="134" ht="210" customHeight="1" thickBot="1" x14ac:dyDescent="0.3">
      <c r="A134" s="428"/>
      <c r="B134" s="444"/>
      <c r="C134" s="263" t="s">
        <v>183</v>
      </c>
      <c r="D134" s="109" t="s">
        <v>277</v>
      </c>
      <c r="E134" s="105" t="s">
        <v>174</v>
      </c>
      <c r="F134" s="106" t="s">
        <v>167</v>
      </c>
      <c r="G134" s="107" t="s">
        <v>219</v>
      </c>
      <c r="H134" s="106" t="s">
        <v>191</v>
      </c>
      <c r="I134" s="108" t="s">
        <v>226</v>
      </c>
      <c r="J134" s="495"/>
      <c r="K134" s="550" t="inlineStr">
        <is>
          <t xml:space="preserve">ohne GF</t>
        </is>
      </c>
      <c r="L134" s="543" t="inlineStr">
        <is>
          <t xml:space="preserve">—</t>
        </is>
      </c>
      <c r="M134" s="543" t="inlineStr">
        <is>
          <t xml:space="preserve">—</t>
        </is>
      </c>
      <c r="N134" s="543" t="inlineStr">
        <is>
          <t xml:space="preserve">—</t>
        </is>
      </c>
      <c r="O134" s="543"/>
      <c r="P134" s="543" t="inlineStr">
        <is>
          <t xml:space="preserve">—</t>
        </is>
      </c>
    </row>
    <row r="135" ht="135.75" thickBot="1" x14ac:dyDescent="0.3">
      <c r="A135" s="428"/>
      <c r="B135" s="493"/>
      <c r="C135" s="288" t="s">
        <v>183</v>
      </c>
      <c r="D135" s="110" t="s">
        <v>278</v>
      </c>
      <c r="E135" s="111" t="s">
        <v>336</v>
      </c>
      <c r="F135" s="112" t="s">
        <v>209</v>
      </c>
      <c r="G135" s="113" t="s">
        <v>219</v>
      </c>
      <c r="H135" s="112" t="s">
        <v>191</v>
      </c>
      <c r="I135" s="114" t="s">
        <v>226</v>
      </c>
      <c r="J135" s="495"/>
      <c r="K135" s="550"/>
      <c r="L135" s="543"/>
      <c r="M135" s="543"/>
      <c r="N135" s="543"/>
      <c r="O135" s="543"/>
      <c r="P135" s="543"/>
    </row>
    <row r="136" ht="30.75" thickBot="1" x14ac:dyDescent="0.3">
      <c r="A136" s="429"/>
      <c r="B136" s="493"/>
      <c r="C136" s="283" t="s">
        <v>183</v>
      </c>
      <c r="D136" s="123" t="s">
        <v>338</v>
      </c>
      <c r="E136" s="105" t="s">
        <v>148</v>
      </c>
      <c r="F136" s="106" t="s">
        <v>279</v>
      </c>
      <c r="G136" s="107" t="s">
        <v>219</v>
      </c>
      <c r="H136" s="106" t="s">
        <v>191</v>
      </c>
      <c r="I136" s="108" t="s">
        <v>226</v>
      </c>
      <c r="J136" s="495"/>
      <c r="K136" s="550"/>
      <c r="L136" s="543"/>
      <c r="M136" s="543"/>
      <c r="N136" s="543"/>
      <c r="O136" s="543"/>
      <c r="P136" s="543"/>
    </row>
    <row r="137" ht="30" x14ac:dyDescent="0.25">
      <c r="A137" s="326">
        <v>26</v>
      </c>
      <c r="B137" s="487" t="s">
        <v>280</v>
      </c>
      <c r="C137" s="271"/>
      <c r="D137" s="465" t="s">
        <v>281</v>
      </c>
      <c r="E137" s="22" t="s">
        <v>148</v>
      </c>
      <c r="F137" s="40" t="s">
        <v>279</v>
      </c>
      <c r="G137" s="22" t="s">
        <v>190</v>
      </c>
      <c r="H137" s="40" t="s">
        <v>191</v>
      </c>
      <c r="I137" s="122" t="s">
        <v>226</v>
      </c>
      <c r="J137" s="415"/>
      <c r="K137" s="550" t="inlineStr">
        <is>
          <t xml:space="preserve">ohne GF</t>
        </is>
      </c>
      <c r="L137" s="543" t="inlineStr">
        <is>
          <t xml:space="preserve">—</t>
        </is>
      </c>
      <c r="M137" s="543" t="inlineStr">
        <is>
          <t xml:space="preserve">—</t>
        </is>
      </c>
      <c r="N137" s="543" t="inlineStr">
        <is>
          <t xml:space="preserve">—</t>
        </is>
      </c>
      <c r="O137" s="543"/>
      <c r="P137" s="543" t="inlineStr">
        <is>
          <t xml:space="preserve">—</t>
        </is>
      </c>
    </row>
    <row r="138" x14ac:dyDescent="0.25">
      <c r="A138" s="327"/>
      <c r="B138" s="488"/>
      <c r="C138" s="271"/>
      <c r="D138" s="465"/>
      <c r="E138" s="23"/>
      <c r="F138" s="24"/>
      <c r="G138" s="23"/>
      <c r="H138" s="24"/>
      <c r="I138" s="3"/>
      <c r="J138" s="416"/>
      <c r="K138" s="550"/>
      <c r="L138" s="543"/>
      <c r="M138" s="543"/>
      <c r="N138" s="543"/>
      <c r="O138" s="543"/>
      <c r="P138" s="543"/>
    </row>
    <row r="139" x14ac:dyDescent="0.25">
      <c r="A139" s="327"/>
      <c r="B139" s="488"/>
      <c r="C139" s="271" t="s">
        <v>229</v>
      </c>
      <c r="D139" s="465"/>
      <c r="E139" s="23"/>
      <c r="F139" s="24"/>
      <c r="G139" s="23"/>
      <c r="H139" s="24"/>
      <c r="I139" s="23"/>
      <c r="J139" s="416"/>
      <c r="K139" s="550"/>
      <c r="L139" s="543"/>
      <c r="M139" s="543"/>
      <c r="N139" s="543"/>
      <c r="O139" s="543"/>
      <c r="P139" s="543"/>
    </row>
    <row r="140" ht="21" customHeight="1" x14ac:dyDescent="0.25">
      <c r="A140" s="327"/>
      <c r="B140" s="488"/>
      <c r="C140" s="271"/>
      <c r="D140" s="465"/>
      <c r="E140" s="23"/>
      <c r="F140" s="24"/>
      <c r="G140" s="23"/>
      <c r="H140" s="24"/>
      <c r="I140" s="23"/>
      <c r="J140" s="416"/>
      <c r="K140" s="550"/>
      <c r="L140" s="543"/>
      <c r="M140" s="543"/>
      <c r="N140" s="543"/>
      <c r="O140" s="543"/>
      <c r="P140" s="543"/>
    </row>
    <row r="141" ht="38.25" customHeight="1" x14ac:dyDescent="0.25">
      <c r="A141" s="328"/>
      <c r="B141" s="489"/>
      <c r="C141" s="272"/>
      <c r="D141" s="466"/>
      <c r="E141" s="23"/>
      <c r="F141" s="24"/>
      <c r="G141" s="23"/>
      <c r="H141" s="24"/>
      <c r="I141" s="23"/>
      <c r="J141" s="417"/>
      <c r="K141" s="550"/>
      <c r="L141" s="543"/>
      <c r="M141" s="543"/>
      <c r="N141" s="543"/>
      <c r="O141" s="543"/>
      <c r="P141" s="543"/>
    </row>
    <row r="142" ht="24.75" customHeight="1" x14ac:dyDescent="0.25">
      <c r="A142" s="418">
        <v>27</v>
      </c>
      <c r="B142" s="437" t="s">
        <v>282</v>
      </c>
      <c r="C142" s="261"/>
      <c r="D142" s="440" t="s">
        <v>283</v>
      </c>
      <c r="E142" s="33" t="s">
        <v>148</v>
      </c>
      <c r="F142" s="34" t="s">
        <v>279</v>
      </c>
      <c r="G142" s="33" t="s">
        <v>202</v>
      </c>
      <c r="H142" s="34" t="s">
        <v>220</v>
      </c>
      <c r="I142" s="33" t="s">
        <v>284</v>
      </c>
      <c r="J142" s="490"/>
      <c r="K142" s="550" t="inlineStr">
        <is>
          <t xml:space="preserve">ohne GF</t>
        </is>
      </c>
      <c r="L142" s="543" t="inlineStr">
        <is>
          <t xml:space="preserve">—</t>
        </is>
      </c>
      <c r="M142" s="543" t="inlineStr">
        <is>
          <t xml:space="preserve">—</t>
        </is>
      </c>
      <c r="N142" s="543" t="inlineStr">
        <is>
          <t xml:space="preserve">—</t>
        </is>
      </c>
      <c r="O142" s="543"/>
      <c r="P142" s="543" t="inlineStr">
        <is>
          <t xml:space="preserve">—</t>
        </is>
      </c>
    </row>
    <row r="143" ht="24.75" customHeight="1" x14ac:dyDescent="0.25">
      <c r="A143" s="419"/>
      <c r="B143" s="438"/>
      <c r="C143" s="261" t="s">
        <v>285</v>
      </c>
      <c r="D143" s="441"/>
      <c r="E143" s="33"/>
      <c r="F143" s="34"/>
      <c r="G143" s="33"/>
      <c r="H143" s="34"/>
      <c r="I143" s="33"/>
      <c r="J143" s="491"/>
      <c r="K143" s="550"/>
      <c r="L143" s="543"/>
      <c r="M143" s="543"/>
      <c r="N143" s="543"/>
      <c r="O143" s="543"/>
      <c r="P143" s="543"/>
    </row>
    <row r="144" ht="21" customHeight="1" x14ac:dyDescent="0.25">
      <c r="A144" s="419"/>
      <c r="B144" s="438"/>
      <c r="C144" s="261"/>
      <c r="D144" s="441"/>
      <c r="E144" s="33"/>
      <c r="F144" s="34"/>
      <c r="G144" s="33"/>
      <c r="H144" s="34"/>
      <c r="I144" s="33"/>
      <c r="J144" s="491"/>
      <c r="K144" s="550"/>
      <c r="L144" s="543"/>
      <c r="M144" s="543"/>
      <c r="N144" s="543"/>
      <c r="O144" s="543"/>
      <c r="P144" s="543"/>
    </row>
    <row r="145" ht="19.5" customHeight="1" x14ac:dyDescent="0.25">
      <c r="A145" s="419"/>
      <c r="B145" s="438"/>
      <c r="C145" s="261"/>
      <c r="D145" s="441"/>
      <c r="E145" s="33"/>
      <c r="F145" s="34"/>
      <c r="G145" s="33"/>
      <c r="H145" s="34"/>
      <c r="I145" s="33"/>
      <c r="J145" s="491"/>
      <c r="K145" s="550"/>
      <c r="L145" s="543"/>
      <c r="M145" s="543"/>
      <c r="N145" s="543"/>
      <c r="O145" s="543"/>
      <c r="P145" s="543"/>
    </row>
    <row r="146" ht="18.75" customHeight="1" x14ac:dyDescent="0.25">
      <c r="A146" s="420"/>
      <c r="B146" s="439"/>
      <c r="C146" s="262"/>
      <c r="D146" s="442"/>
      <c r="E146" s="33"/>
      <c r="F146" s="34"/>
      <c r="G146" s="33"/>
      <c r="H146" s="34"/>
      <c r="I146" s="33"/>
      <c r="J146" s="492"/>
      <c r="K146" s="550"/>
      <c r="L146" s="543"/>
      <c r="M146" s="543"/>
      <c r="N146" s="543"/>
      <c r="O146" s="543"/>
      <c r="P146" s="543"/>
    </row>
    <row r="147" ht="30" x14ac:dyDescent="0.25">
      <c r="A147" s="326">
        <v>28</v>
      </c>
      <c r="B147" s="524" t="s">
        <v>348</v>
      </c>
      <c r="C147" s="409" t="s">
        <v>349</v>
      </c>
      <c r="D147" s="461" t="s">
        <v>286</v>
      </c>
      <c r="E147" s="218" t="s">
        <v>53</v>
      </c>
      <c r="F147" s="221" t="s">
        <v>174</v>
      </c>
      <c r="G147" s="218" t="s">
        <v>341</v>
      </c>
      <c r="H147" s="221" t="s">
        <v>191</v>
      </c>
      <c r="I147" s="218"/>
      <c r="J147" s="367" t="s">
        <v>287</v>
      </c>
      <c r="K147" s="546" t="inlineStr">
        <is>
          <t xml:space="preserve">kongruent</t>
        </is>
      </c>
      <c r="L147" s="543" t="inlineStr">
        <is>
          <t xml:space="preserve">2 Std.</t>
        </is>
      </c>
      <c r="M147" s="543" t="inlineStr">
        <is>
          <t xml:space="preserve">offen</t>
        </is>
      </c>
      <c r="N147" s="543" t="inlineStr">
        <is>
          <t xml:space="preserve">2</t>
        </is>
      </c>
      <c r="O147" s="543"/>
      <c r="P147" s="543" t="inlineStr">
        <is>
          <t xml:space="preserve">übereinstimmend</t>
        </is>
      </c>
    </row>
    <row r="148" x14ac:dyDescent="0.25">
      <c r="A148" s="327"/>
      <c r="B148" s="525"/>
      <c r="C148" s="410"/>
      <c r="D148" s="482"/>
      <c r="E148" s="218"/>
      <c r="F148" s="221" t="s">
        <v>88</v>
      </c>
      <c r="G148" s="218"/>
      <c r="H148" s="221"/>
      <c r="I148" s="218"/>
      <c r="J148" s="368"/>
      <c r="K148" s="546"/>
      <c r="L148" s="543"/>
      <c r="M148" s="543"/>
      <c r="N148" s="543"/>
      <c r="O148" s="543"/>
      <c r="P148" s="543"/>
    </row>
    <row r="149" x14ac:dyDescent="0.25">
      <c r="A149" s="327"/>
      <c r="B149" s="525"/>
      <c r="C149" s="410"/>
      <c r="D149" s="482"/>
      <c r="E149" s="218"/>
      <c r="F149" s="221"/>
      <c r="G149" s="218"/>
      <c r="H149" s="221"/>
      <c r="I149" s="218"/>
      <c r="J149" s="368"/>
      <c r="K149" s="546"/>
      <c r="L149" s="543"/>
      <c r="M149" s="543"/>
      <c r="N149" s="543"/>
      <c r="O149" s="543"/>
      <c r="P149" s="543"/>
    </row>
    <row r="150" x14ac:dyDescent="0.25">
      <c r="A150" s="327"/>
      <c r="B150" s="525"/>
      <c r="C150" s="410"/>
      <c r="D150" s="482"/>
      <c r="E150" s="218"/>
      <c r="F150" s="221"/>
      <c r="G150" s="218"/>
      <c r="H150" s="221"/>
      <c r="I150" s="218"/>
      <c r="J150" s="368"/>
      <c r="K150" s="546"/>
      <c r="L150" s="543"/>
      <c r="M150" s="543"/>
      <c r="N150" s="543"/>
      <c r="O150" s="543"/>
      <c r="P150" s="543"/>
    </row>
    <row r="151" ht="155.44999999999999" customHeight="1" x14ac:dyDescent="0.25">
      <c r="A151" s="328"/>
      <c r="B151" s="526"/>
      <c r="C151" s="411"/>
      <c r="D151" s="483"/>
      <c r="E151" s="218"/>
      <c r="F151" s="221"/>
      <c r="G151" s="218"/>
      <c r="H151" s="221"/>
      <c r="I151" s="218"/>
      <c r="J151" s="369"/>
      <c r="K151" s="546"/>
      <c r="L151" s="543"/>
      <c r="M151" s="543"/>
      <c r="N151" s="543"/>
      <c r="O151" s="543"/>
      <c r="P151" s="543"/>
    </row>
    <row r="152" x14ac:dyDescent="0.25">
      <c r="A152" s="427">
        <v>29</v>
      </c>
      <c r="B152" s="443" t="s">
        <v>288</v>
      </c>
      <c r="C152" s="265"/>
      <c r="D152" s="484" t="s">
        <v>289</v>
      </c>
      <c r="E152" s="219" t="s">
        <v>53</v>
      </c>
      <c r="F152" s="217" t="s">
        <v>167</v>
      </c>
      <c r="G152" s="219" t="s">
        <v>168</v>
      </c>
      <c r="H152" s="217" t="s">
        <v>169</v>
      </c>
      <c r="I152" s="219"/>
      <c r="J152" s="443" t="s">
        <v>290</v>
      </c>
      <c r="K152" s="551" t="inlineStr">
        <is>
          <t xml:space="preserve">zu klären</t>
        </is>
      </c>
      <c r="L152" s="543" t="inlineStr">
        <is>
          <t xml:space="preserve">50 Min.</t>
        </is>
      </c>
      <c r="M152" s="543" t="inlineStr">
        <is>
          <t xml:space="preserve">monatlich</t>
        </is>
      </c>
      <c r="N152" s="543" t="inlineStr">
        <is>
          <t xml:space="preserve">21</t>
        </is>
      </c>
      <c r="O152" s="543" t="inlineStr">
        <is>
          <t xml:space="preserve">Dauer: Matrix je 1,5 Std., Kalender 50 Min. | Zuordnung unsicher: DfM und ApD sind im Kalender nicht eindeutig zu finden</t>
        </is>
      </c>
      <c r="P152" s="543" t="inlineStr">
        <is>
          <t xml:space="preserve">offen</t>
        </is>
      </c>
    </row>
    <row r="153" x14ac:dyDescent="0.25">
      <c r="A153" s="428"/>
      <c r="B153" s="444"/>
      <c r="C153" s="264"/>
      <c r="D153" s="485"/>
      <c r="E153" s="219"/>
      <c r="F153" s="217"/>
      <c r="G153" s="219"/>
      <c r="H153" s="217"/>
      <c r="I153" s="219"/>
      <c r="J153" s="444"/>
      <c r="K153" s="551"/>
      <c r="L153" s="543"/>
      <c r="M153" s="543"/>
      <c r="N153" s="543"/>
      <c r="O153" s="543"/>
      <c r="P153" s="543"/>
    </row>
    <row r="154" x14ac:dyDescent="0.25">
      <c r="A154" s="428"/>
      <c r="B154" s="444"/>
      <c r="C154" s="264"/>
      <c r="D154" s="485"/>
      <c r="E154" s="219"/>
      <c r="F154" s="217"/>
      <c r="G154" s="219"/>
      <c r="H154" s="217"/>
      <c r="I154" s="219"/>
      <c r="J154" s="444"/>
      <c r="K154" s="551"/>
      <c r="L154" s="543"/>
      <c r="M154" s="543"/>
      <c r="N154" s="543"/>
      <c r="O154" s="543"/>
      <c r="P154" s="543"/>
    </row>
    <row r="155" x14ac:dyDescent="0.25">
      <c r="A155" s="428"/>
      <c r="B155" s="444"/>
      <c r="C155" s="264" t="s">
        <v>291</v>
      </c>
      <c r="D155" s="485"/>
      <c r="E155" s="219"/>
      <c r="F155" s="217"/>
      <c r="G155" s="219"/>
      <c r="H155" s="217"/>
      <c r="I155" s="219"/>
      <c r="J155" s="444"/>
      <c r="K155" s="551"/>
      <c r="L155" s="543"/>
      <c r="M155" s="543"/>
      <c r="N155" s="543"/>
      <c r="O155" s="543"/>
      <c r="P155" s="543"/>
    </row>
    <row r="156" ht="80.45" customHeight="1" x14ac:dyDescent="0.25">
      <c r="A156" s="429"/>
      <c r="B156" s="445"/>
      <c r="C156" s="266"/>
      <c r="D156" s="486"/>
      <c r="E156" s="219"/>
      <c r="F156" s="217"/>
      <c r="G156" s="219"/>
      <c r="H156" s="217"/>
      <c r="I156" s="219"/>
      <c r="J156" s="445"/>
      <c r="K156" s="551"/>
      <c r="L156" s="543"/>
      <c r="M156" s="543"/>
      <c r="N156" s="543"/>
      <c r="O156" s="543"/>
      <c r="P156" s="543"/>
    </row>
    <row r="157" x14ac:dyDescent="0.25">
      <c r="A157" s="430">
        <v>30</v>
      </c>
      <c r="B157" s="367" t="s">
        <v>292</v>
      </c>
      <c r="C157" s="274"/>
      <c r="D157" s="461" t="s">
        <v>293</v>
      </c>
      <c r="E157" s="218" t="s">
        <v>53</v>
      </c>
      <c r="F157" s="221" t="s">
        <v>154</v>
      </c>
      <c r="G157" s="218" t="s">
        <v>181</v>
      </c>
      <c r="H157" s="221" t="s">
        <v>169</v>
      </c>
      <c r="I157" s="196"/>
      <c r="J157" s="367"/>
      <c r="K157" s="547" t="inlineStr">
        <is>
          <t xml:space="preserve">abweichend</t>
        </is>
      </c>
      <c r="L157" s="543" t="inlineStr">
        <is>
          <t xml:space="preserve">100 Min.</t>
        </is>
      </c>
      <c r="M157" s="543" t="inlineStr">
        <is>
          <t xml:space="preserve">alle 2 Monate</t>
        </is>
      </c>
      <c r="N157" s="543" t="inlineStr">
        <is>
          <t xml:space="preserve">6</t>
        </is>
      </c>
      <c r="O157" s="543" t="inlineStr">
        <is>
          <t xml:space="preserve">Dauer: Matrix 50 Min., Kalender 100 Min.</t>
        </is>
      </c>
      <c r="P157" s="543" t="inlineStr">
        <is>
          <t xml:space="preserve">Kalender-Wert gilt (Fritsch)</t>
        </is>
      </c>
    </row>
    <row r="158" x14ac:dyDescent="0.25">
      <c r="A158" s="431"/>
      <c r="B158" s="368"/>
      <c r="C158" s="314"/>
      <c r="D158" s="482"/>
      <c r="E158" s="218"/>
      <c r="F158" s="221" t="s">
        <v>200</v>
      </c>
      <c r="G158" s="218"/>
      <c r="H158" s="221"/>
      <c r="I158" s="196"/>
      <c r="J158" s="368"/>
      <c r="K158" s="547"/>
      <c r="L158" s="543"/>
      <c r="M158" s="543"/>
      <c r="N158" s="543"/>
      <c r="O158" s="543"/>
      <c r="P158" s="543"/>
    </row>
    <row r="159" x14ac:dyDescent="0.25">
      <c r="A159" s="431"/>
      <c r="B159" s="368"/>
      <c r="C159" s="314"/>
      <c r="D159" s="482"/>
      <c r="E159" s="218"/>
      <c r="F159" s="221"/>
      <c r="G159" s="218"/>
      <c r="H159" s="221"/>
      <c r="I159" s="218"/>
      <c r="J159" s="368"/>
      <c r="K159" s="547"/>
      <c r="L159" s="543"/>
      <c r="M159" s="543"/>
      <c r="N159" s="543"/>
      <c r="O159" s="543"/>
      <c r="P159" s="543"/>
    </row>
    <row r="160" x14ac:dyDescent="0.25">
      <c r="A160" s="431"/>
      <c r="B160" s="368"/>
      <c r="C160" s="314" t="s">
        <v>176</v>
      </c>
      <c r="D160" s="482"/>
      <c r="E160" s="218"/>
      <c r="F160" s="221"/>
      <c r="G160" s="218"/>
      <c r="H160" s="221"/>
      <c r="I160" s="218"/>
      <c r="J160" s="368"/>
      <c r="K160" s="547"/>
      <c r="L160" s="543"/>
      <c r="M160" s="543"/>
      <c r="N160" s="543"/>
      <c r="O160" s="543"/>
      <c r="P160" s="543"/>
    </row>
    <row r="161" ht="92.45" customHeight="1" x14ac:dyDescent="0.25">
      <c r="A161" s="432"/>
      <c r="B161" s="369"/>
      <c r="C161" s="315"/>
      <c r="D161" s="483"/>
      <c r="E161" s="218"/>
      <c r="F161" s="221"/>
      <c r="G161" s="218"/>
      <c r="H161" s="221"/>
      <c r="I161" s="218"/>
      <c r="J161" s="369"/>
      <c r="K161" s="547"/>
      <c r="L161" s="543"/>
      <c r="M161" s="543"/>
      <c r="N161" s="543"/>
      <c r="O161" s="543"/>
      <c r="P161" s="543"/>
    </row>
    <row r="162" ht="30" x14ac:dyDescent="0.25">
      <c r="A162" s="418">
        <v>31</v>
      </c>
      <c r="B162" s="443" t="s">
        <v>294</v>
      </c>
      <c r="C162" s="265"/>
      <c r="D162" s="484" t="s">
        <v>295</v>
      </c>
      <c r="E162" s="219" t="s">
        <v>53</v>
      </c>
      <c r="F162" s="217"/>
      <c r="G162" s="219" t="s">
        <v>202</v>
      </c>
      <c r="H162" s="217" t="s">
        <v>198</v>
      </c>
      <c r="I162" s="219"/>
      <c r="J162" s="443"/>
      <c r="K162" s="548" t="inlineStr">
        <is>
          <t xml:space="preserve">fehlt im Kalender</t>
        </is>
      </c>
      <c r="L162" s="543" t="inlineStr">
        <is>
          <t xml:space="preserve">—</t>
        </is>
      </c>
      <c r="M162" s="543" t="inlineStr">
        <is>
          <t xml:space="preserve">—</t>
        </is>
      </c>
      <c r="N162" s="543" t="inlineStr">
        <is>
          <t xml:space="preserve">—</t>
        </is>
      </c>
      <c r="O162" s="543" t="inlineStr">
        <is>
          <t xml:space="preserve">kein Termin im Kalender</t>
        </is>
      </c>
      <c r="P162" s="543" t="inlineStr">
        <is>
          <t xml:space="preserve">offen</t>
        </is>
      </c>
    </row>
    <row r="163" x14ac:dyDescent="0.25">
      <c r="A163" s="419"/>
      <c r="B163" s="444"/>
      <c r="C163" s="264"/>
      <c r="D163" s="485"/>
      <c r="E163" s="219"/>
      <c r="F163" s="217"/>
      <c r="G163" s="219"/>
      <c r="H163" s="217"/>
      <c r="I163" s="219"/>
      <c r="J163" s="444"/>
      <c r="K163" s="548"/>
      <c r="L163" s="543"/>
      <c r="M163" s="543"/>
      <c r="N163" s="543"/>
      <c r="O163" s="543"/>
      <c r="P163" s="543"/>
    </row>
    <row r="164" x14ac:dyDescent="0.25">
      <c r="A164" s="419"/>
      <c r="B164" s="444"/>
      <c r="C164" s="264"/>
      <c r="D164" s="485"/>
      <c r="E164" s="219"/>
      <c r="F164" s="217"/>
      <c r="G164" s="219"/>
      <c r="H164" s="217"/>
      <c r="I164" s="219"/>
      <c r="J164" s="444"/>
      <c r="K164" s="548"/>
      <c r="L164" s="543"/>
      <c r="M164" s="543"/>
      <c r="N164" s="543"/>
      <c r="O164" s="543"/>
      <c r="P164" s="543"/>
    </row>
    <row r="165" x14ac:dyDescent="0.25">
      <c r="A165" s="419"/>
      <c r="B165" s="444"/>
      <c r="C165" s="264" t="s">
        <v>229</v>
      </c>
      <c r="D165" s="485"/>
      <c r="E165" s="219"/>
      <c r="F165" s="217"/>
      <c r="G165" s="219"/>
      <c r="H165" s="217"/>
      <c r="I165" s="219"/>
      <c r="J165" s="444"/>
      <c r="K165" s="548"/>
      <c r="L165" s="543"/>
      <c r="M165" s="543"/>
      <c r="N165" s="543"/>
      <c r="O165" s="543"/>
      <c r="P165" s="543"/>
    </row>
    <row r="166" ht="79.900000000000006" customHeight="1" x14ac:dyDescent="0.25">
      <c r="A166" s="420"/>
      <c r="B166" s="445"/>
      <c r="C166" s="266"/>
      <c r="D166" s="486"/>
      <c r="E166" s="219"/>
      <c r="F166" s="217"/>
      <c r="G166" s="219"/>
      <c r="H166" s="217"/>
      <c r="I166" s="219"/>
      <c r="J166" s="445"/>
      <c r="K166" s="548"/>
      <c r="L166" s="543"/>
      <c r="M166" s="543"/>
      <c r="N166" s="543"/>
      <c r="O166" s="543"/>
      <c r="P166" s="543"/>
    </row>
    <row r="167" s="532" customFormat="1" ht="15" customHeight="1" x14ac:dyDescent="0.25">
      <c r="A167" s="421">
        <v>32</v>
      </c>
      <c r="B167" s="476" t="s">
        <v>335</v>
      </c>
      <c r="C167" s="311"/>
      <c r="D167" s="476" t="s">
        <v>306</v>
      </c>
      <c r="E167" s="312" t="s">
        <v>174</v>
      </c>
      <c r="F167" s="313" t="s">
        <v>174</v>
      </c>
      <c r="G167" s="312" t="s">
        <v>168</v>
      </c>
      <c r="H167" s="313"/>
      <c r="I167" s="312"/>
      <c r="J167" s="479"/>
      <c r="K167" s="549" t="inlineStr">
        <is>
          <t xml:space="preserve">Fritsch: gestrichen</t>
        </is>
      </c>
      <c r="L167" s="543" t="inlineStr">
        <is>
          <t xml:space="preserve">—</t>
        </is>
      </c>
      <c r="M167" s="543" t="inlineStr">
        <is>
          <t xml:space="preserve">—</t>
        </is>
      </c>
      <c r="N167" s="543" t="inlineStr">
        <is>
          <t xml:space="preserve">—</t>
        </is>
      </c>
      <c r="O167" s="543" t="inlineStr">
        <is>
          <t xml:space="preserve">Kalender: Monatsgespräch SBO gestrichen (ersetzt durch JF MAV+BR SBO)</t>
        </is>
      </c>
      <c r="P167" s="543" t="inlineStr">
        <is>
          <t xml:space="preserve">nicht gewünscht (Fritsch)</t>
        </is>
      </c>
    </row>
    <row r="168" s="532" customFormat="1" x14ac:dyDescent="0.25">
      <c r="A168" s="422"/>
      <c r="B168" s="477"/>
      <c r="C168" s="314"/>
      <c r="D168" s="477"/>
      <c r="E168" s="312"/>
      <c r="F168" s="313" t="s">
        <v>200</v>
      </c>
      <c r="G168" s="312"/>
      <c r="H168" s="313"/>
      <c r="I168" s="312"/>
      <c r="J168" s="480"/>
      <c r="K168" s="549"/>
      <c r="L168" s="543"/>
      <c r="M168" s="543"/>
      <c r="N168" s="543"/>
      <c r="O168" s="543"/>
      <c r="P168" s="543"/>
    </row>
    <row r="169" s="532" customFormat="1" x14ac:dyDescent="0.25">
      <c r="A169" s="422"/>
      <c r="B169" s="477"/>
      <c r="C169" s="314" t="s">
        <v>183</v>
      </c>
      <c r="D169" s="477"/>
      <c r="E169" s="312"/>
      <c r="F169" s="313" t="s">
        <v>154</v>
      </c>
      <c r="G169" s="312"/>
      <c r="H169" s="313"/>
      <c r="I169" s="312"/>
      <c r="J169" s="480"/>
      <c r="K169" s="549"/>
      <c r="L169" s="543"/>
      <c r="M169" s="543"/>
      <c r="N169" s="543"/>
      <c r="O169" s="543"/>
      <c r="P169" s="543"/>
    </row>
    <row r="170" s="532" customFormat="1" x14ac:dyDescent="0.25">
      <c r="A170" s="422"/>
      <c r="B170" s="477"/>
      <c r="C170" s="314"/>
      <c r="D170" s="477"/>
      <c r="E170" s="312"/>
      <c r="F170" s="313"/>
      <c r="G170" s="312"/>
      <c r="H170" s="313"/>
      <c r="I170" s="312"/>
      <c r="J170" s="480"/>
      <c r="K170" s="549"/>
      <c r="L170" s="543"/>
      <c r="M170" s="543"/>
      <c r="N170" s="543"/>
      <c r="O170" s="543"/>
      <c r="P170" s="543"/>
    </row>
    <row r="171" s="532" customFormat="1" x14ac:dyDescent="0.25">
      <c r="A171" s="423"/>
      <c r="B171" s="478"/>
      <c r="C171" s="315"/>
      <c r="D171" s="478"/>
      <c r="E171" s="312"/>
      <c r="F171" s="313"/>
      <c r="G171" s="312"/>
      <c r="H171" s="313"/>
      <c r="I171" s="312"/>
      <c r="J171" s="481"/>
      <c r="K171" s="549"/>
      <c r="L171" s="543"/>
      <c r="M171" s="543"/>
      <c r="N171" s="543"/>
      <c r="O171" s="543"/>
      <c r="P171" s="543"/>
    </row>
    <row r="172" s="532" customFormat="1" ht="30" x14ac:dyDescent="0.25">
      <c r="A172" s="527">
        <v>33</v>
      </c>
      <c r="B172" s="528" t="s">
        <v>296</v>
      </c>
      <c r="C172" s="529"/>
      <c r="D172" s="528" t="s">
        <v>297</v>
      </c>
      <c r="E172" s="530" t="s">
        <v>53</v>
      </c>
      <c r="F172" s="531" t="s">
        <v>73</v>
      </c>
      <c r="G172" s="530" t="s">
        <v>168</v>
      </c>
      <c r="H172" s="531"/>
      <c r="I172" s="530"/>
      <c r="J172" s="537"/>
      <c r="K172" s="547" t="inlineStr">
        <is>
          <t xml:space="preserve">abweichend</t>
        </is>
      </c>
      <c r="L172" s="543" t="inlineStr">
        <is>
          <t xml:space="preserve">1 Std.</t>
        </is>
      </c>
      <c r="M172" s="543" t="inlineStr">
        <is>
          <t xml:space="preserve">monatlich</t>
        </is>
      </c>
      <c r="N172" s="543" t="inlineStr">
        <is>
          <t xml:space="preserve">10</t>
        </is>
      </c>
      <c r="O172" s="543" t="inlineStr">
        <is>
          <t xml:space="preserve">Dauer: Matrix 2 Std. (monatlich) / 3 Std. (zweimonatlich), Kalender 1 Std.</t>
        </is>
      </c>
      <c r="P172" s="543" t="inlineStr">
        <is>
          <t xml:space="preserve">Kalender-Wert gilt (Fritsch)</t>
        </is>
      </c>
    </row>
    <row r="173" s="532" customFormat="1" x14ac:dyDescent="0.25">
      <c r="A173" s="533"/>
      <c r="B173" s="534"/>
      <c r="C173" s="538"/>
      <c r="D173" s="539"/>
      <c r="E173" s="530"/>
      <c r="F173" s="531"/>
      <c r="G173" s="530"/>
      <c r="H173" s="531"/>
      <c r="I173" s="530"/>
      <c r="J173" s="539"/>
      <c r="K173" s="547"/>
      <c r="L173" s="543"/>
      <c r="M173" s="543"/>
      <c r="N173" s="543"/>
      <c r="O173" s="543"/>
      <c r="P173" s="543"/>
    </row>
    <row r="174" s="532" customFormat="1" x14ac:dyDescent="0.25">
      <c r="A174" s="533"/>
      <c r="B174" s="534"/>
      <c r="C174" s="538" t="s">
        <v>194</v>
      </c>
      <c r="D174" s="539"/>
      <c r="E174" s="530"/>
      <c r="F174" s="531"/>
      <c r="G174" s="530"/>
      <c r="H174" s="531"/>
      <c r="I174" s="530"/>
      <c r="J174" s="539"/>
      <c r="K174" s="547"/>
      <c r="L174" s="543"/>
      <c r="M174" s="543"/>
      <c r="N174" s="543"/>
      <c r="O174" s="543"/>
      <c r="P174" s="543"/>
    </row>
    <row r="175" s="532" customFormat="1" x14ac:dyDescent="0.25">
      <c r="A175" s="533"/>
      <c r="B175" s="534"/>
      <c r="C175" s="538"/>
      <c r="D175" s="539"/>
      <c r="E175" s="530"/>
      <c r="F175" s="531"/>
      <c r="G175" s="530"/>
      <c r="H175" s="531"/>
      <c r="I175" s="530"/>
      <c r="J175" s="539"/>
      <c r="K175" s="547"/>
      <c r="L175" s="543"/>
      <c r="M175" s="543"/>
      <c r="N175" s="543"/>
      <c r="O175" s="543"/>
      <c r="P175" s="543"/>
    </row>
    <row r="176" s="532" customFormat="1" x14ac:dyDescent="0.25">
      <c r="A176" s="535"/>
      <c r="B176" s="536"/>
      <c r="C176" s="540"/>
      <c r="D176" s="541"/>
      <c r="E176" s="530"/>
      <c r="F176" s="531"/>
      <c r="G176" s="530"/>
      <c r="H176" s="531"/>
      <c r="I176" s="530"/>
      <c r="J176" s="541"/>
      <c r="K176" s="547"/>
      <c r="L176" s="543"/>
      <c r="M176" s="543"/>
      <c r="N176" s="543"/>
      <c r="O176" s="543"/>
      <c r="P176" s="543"/>
    </row>
    <row r="177" s="287" customFormat="1" ht="60" customHeight="1" x14ac:dyDescent="0.25">
      <c r="A177" s="284"/>
      <c r="B177" s="281"/>
      <c r="C177" s="281"/>
      <c r="D177" s="290"/>
      <c r="E177" s="285"/>
      <c r="F177" s="286"/>
      <c r="G177" s="285"/>
      <c r="H177" s="286"/>
      <c r="I177" s="285"/>
      <c r="J177" s="403" t="s">
        <v>298</v>
      </c>
      <c r="K177" s="547"/>
      <c r="L177" s="543"/>
      <c r="M177" s="543"/>
      <c r="N177" s="543"/>
      <c r="O177" s="543"/>
      <c r="P177" s="543"/>
    </row>
    <row r="178" s="287" customFormat="1" ht="30" x14ac:dyDescent="0.25">
      <c r="A178" s="293"/>
      <c r="B178" s="290"/>
      <c r="C178" s="281"/>
      <c r="D178" s="290"/>
      <c r="E178" s="298" t="s">
        <v>148</v>
      </c>
      <c r="F178" s="299" t="s">
        <v>174</v>
      </c>
      <c r="G178" s="298" t="s">
        <v>181</v>
      </c>
      <c r="H178" s="299" t="s">
        <v>195</v>
      </c>
      <c r="I178" s="298" t="s">
        <v>299</v>
      </c>
      <c r="J178" s="404"/>
      <c r="K178" s="547"/>
      <c r="L178" s="543"/>
      <c r="M178" s="543"/>
      <c r="N178" s="543"/>
      <c r="O178" s="543"/>
      <c r="P178" s="543"/>
    </row>
    <row r="179" s="287" customFormat="1" ht="30" x14ac:dyDescent="0.25">
      <c r="A179" s="293"/>
      <c r="B179" s="290"/>
      <c r="C179" s="281" t="s">
        <v>350</v>
      </c>
      <c r="D179" s="291" t="s">
        <v>300</v>
      </c>
      <c r="E179" s="298"/>
      <c r="F179" s="299"/>
      <c r="G179" s="298"/>
      <c r="H179" s="299"/>
      <c r="I179" s="298"/>
      <c r="J179" s="404"/>
      <c r="K179" s="547"/>
      <c r="L179" s="543"/>
      <c r="M179" s="543"/>
      <c r="N179" s="543"/>
      <c r="O179" s="543"/>
      <c r="P179" s="543"/>
    </row>
    <row r="180" s="287" customFormat="1" x14ac:dyDescent="0.25">
      <c r="A180" s="293">
        <v>34</v>
      </c>
      <c r="B180" s="290" t="s">
        <v>301</v>
      </c>
      <c r="C180" s="281"/>
      <c r="D180" s="290"/>
      <c r="E180" s="298"/>
      <c r="F180" s="299"/>
      <c r="G180" s="298"/>
      <c r="H180" s="299"/>
      <c r="I180" s="298"/>
      <c r="J180" s="405"/>
      <c r="K180" s="550" t="inlineStr">
        <is>
          <t xml:space="preserve">ohne GF</t>
        </is>
      </c>
      <c r="L180" s="543" t="inlineStr">
        <is>
          <t xml:space="preserve">—</t>
        </is>
      </c>
      <c r="M180" s="543" t="inlineStr">
        <is>
          <t xml:space="preserve">—</t>
        </is>
      </c>
      <c r="N180" s="543" t="inlineStr">
        <is>
          <t xml:space="preserve">—</t>
        </is>
      </c>
      <c r="O180" s="543"/>
      <c r="P180" s="543" t="inlineStr">
        <is>
          <t xml:space="preserve">—</t>
        </is>
      </c>
    </row>
    <row r="181" s="287" customFormat="1" x14ac:dyDescent="0.25">
      <c r="A181" s="293"/>
      <c r="B181" s="290"/>
      <c r="C181" s="281"/>
      <c r="D181" s="290"/>
      <c r="E181" s="300"/>
      <c r="F181" s="301"/>
      <c r="G181" s="300"/>
      <c r="H181" s="301"/>
      <c r="I181" s="300"/>
      <c r="J181" s="289"/>
      <c r="K181" s="550"/>
      <c r="L181" s="543"/>
      <c r="M181" s="543"/>
      <c r="N181" s="543"/>
      <c r="O181" s="543"/>
      <c r="P181" s="543"/>
    </row>
    <row r="182" s="287" customFormat="1" ht="30" x14ac:dyDescent="0.25">
      <c r="A182" s="294"/>
      <c r="B182" s="295"/>
      <c r="C182" s="277"/>
      <c r="D182" s="400" t="s">
        <v>302</v>
      </c>
      <c r="E182" s="298" t="s">
        <v>174</v>
      </c>
      <c r="F182" s="299" t="s">
        <v>174</v>
      </c>
      <c r="G182" s="298" t="s">
        <v>190</v>
      </c>
      <c r="H182" s="299" t="s">
        <v>191</v>
      </c>
      <c r="I182" s="302" t="s">
        <v>303</v>
      </c>
      <c r="J182" s="406" t="s">
        <v>304</v>
      </c>
      <c r="K182" s="550"/>
      <c r="L182" s="543"/>
      <c r="M182" s="543"/>
      <c r="N182" s="543"/>
      <c r="O182" s="543"/>
      <c r="P182" s="543"/>
    </row>
    <row r="183" s="287" customFormat="1" x14ac:dyDescent="0.25">
      <c r="A183" s="293"/>
      <c r="B183" s="290"/>
      <c r="C183" s="281"/>
      <c r="D183" s="401"/>
      <c r="E183" s="298"/>
      <c r="F183" s="299"/>
      <c r="G183" s="298"/>
      <c r="H183" s="299"/>
      <c r="I183" s="298"/>
      <c r="J183" s="407"/>
      <c r="K183" s="550"/>
      <c r="L183" s="543"/>
      <c r="M183" s="543"/>
      <c r="N183" s="543"/>
      <c r="O183" s="543"/>
      <c r="P183" s="543"/>
    </row>
    <row r="184" s="287" customFormat="1" x14ac:dyDescent="0.25">
      <c r="A184" s="293">
        <v>35</v>
      </c>
      <c r="B184" s="292" t="s">
        <v>305</v>
      </c>
      <c r="C184" s="281" t="s">
        <v>351</v>
      </c>
      <c r="D184" s="401"/>
      <c r="E184" s="298"/>
      <c r="F184" s="299"/>
      <c r="G184" s="298"/>
      <c r="H184" s="299"/>
      <c r="I184" s="298"/>
      <c r="J184" s="407"/>
      <c r="K184" s="551" t="inlineStr">
        <is>
          <t xml:space="preserve">zu klären</t>
        </is>
      </c>
      <c r="L184" s="543" t="inlineStr">
        <is>
          <t xml:space="preserve">—</t>
        </is>
      </c>
      <c r="M184" s="543" t="inlineStr">
        <is>
          <t xml:space="preserve">—</t>
        </is>
      </c>
      <c r="N184" s="543" t="inlineStr">
        <is>
          <t xml:space="preserve">—</t>
        </is>
      </c>
      <c r="O184" s="543" t="inlineStr">
        <is>
          <t xml:space="preserve">Matrix: bestehende SBO-Gesprächsstrukturen müssen mit den Referaten abgeglichen werden</t>
        </is>
      </c>
      <c r="P184" s="543" t="inlineStr">
        <is>
          <t xml:space="preserve">offen</t>
        </is>
      </c>
    </row>
    <row r="185" s="287" customFormat="1" x14ac:dyDescent="0.25">
      <c r="A185" s="293"/>
      <c r="B185" s="290"/>
      <c r="C185" s="281"/>
      <c r="D185" s="401"/>
      <c r="E185" s="298"/>
      <c r="F185" s="299"/>
      <c r="G185" s="298"/>
      <c r="H185" s="299"/>
      <c r="I185" s="298"/>
      <c r="J185" s="407"/>
      <c r="K185" s="551"/>
      <c r="L185" s="543"/>
      <c r="M185" s="543"/>
      <c r="N185" s="543"/>
      <c r="O185" s="543"/>
      <c r="P185" s="543"/>
    </row>
    <row r="186" s="287" customFormat="1" x14ac:dyDescent="0.25">
      <c r="A186" s="296"/>
      <c r="B186" s="297"/>
      <c r="C186" s="282"/>
      <c r="D186" s="402"/>
      <c r="E186" s="298"/>
      <c r="F186" s="299"/>
      <c r="G186" s="298"/>
      <c r="H186" s="299"/>
      <c r="I186" s="298"/>
      <c r="J186" s="408"/>
      <c r="K186" s="551"/>
      <c r="L186" s="543"/>
      <c r="M186" s="543"/>
      <c r="N186" s="543"/>
      <c r="O186" s="543"/>
      <c r="P186" s="543"/>
    </row>
    <row r="187" x14ac:dyDescent="0.25">
      <c r="A187" s="415"/>
      <c r="B187" s="467" t="s">
        <v>307</v>
      </c>
      <c r="C187" s="278"/>
      <c r="D187" s="367"/>
      <c r="E187" s="218"/>
      <c r="F187" s="221"/>
      <c r="G187" s="218"/>
      <c r="H187" s="221"/>
      <c r="I187" s="196"/>
      <c r="J187" s="470"/>
      <c r="K187" s="551" t="inlineStr">
        <is>
          <t xml:space="preserve">zu klären</t>
        </is>
      </c>
      <c r="L187" s="543" t="inlineStr">
        <is>
          <t xml:space="preserve">—</t>
        </is>
      </c>
      <c r="M187" s="543" t="inlineStr">
        <is>
          <t xml:space="preserve">—</t>
        </is>
      </c>
      <c r="N187" s="543" t="inlineStr">
        <is>
          <t xml:space="preserve">—</t>
        </is>
      </c>
      <c r="O187" s="543" t="inlineStr">
        <is>
          <t xml:space="preserve">Matrix: Abgleich mit den Referaten offen</t>
        </is>
      </c>
      <c r="P187" s="543" t="inlineStr">
        <is>
          <t xml:space="preserve">offen</t>
        </is>
      </c>
    </row>
    <row r="188" x14ac:dyDescent="0.25">
      <c r="A188" s="416"/>
      <c r="B188" s="468"/>
      <c r="C188" s="279"/>
      <c r="D188" s="368"/>
      <c r="E188" s="218"/>
      <c r="F188" s="221"/>
      <c r="G188" s="218"/>
      <c r="H188" s="221"/>
      <c r="I188" s="196"/>
      <c r="J188" s="471"/>
      <c r="K188" s="551"/>
      <c r="L188" s="543"/>
      <c r="M188" s="543"/>
      <c r="N188" s="543"/>
      <c r="O188" s="543"/>
      <c r="P188" s="543"/>
    </row>
    <row r="189" x14ac:dyDescent="0.25">
      <c r="A189" s="416"/>
      <c r="B189" s="468"/>
      <c r="C189" s="279"/>
      <c r="D189" s="368"/>
      <c r="E189" s="218"/>
      <c r="F189" s="221"/>
      <c r="G189" s="218"/>
      <c r="H189" s="221"/>
      <c r="I189" s="218"/>
      <c r="J189" s="471"/>
      <c r="K189" s="551"/>
      <c r="L189" s="543"/>
      <c r="M189" s="543"/>
      <c r="N189" s="543"/>
      <c r="O189" s="543"/>
      <c r="P189" s="543"/>
    </row>
    <row r="190" x14ac:dyDescent="0.25">
      <c r="A190" s="416"/>
      <c r="B190" s="468"/>
      <c r="C190" s="279"/>
      <c r="D190" s="368"/>
      <c r="E190" s="218"/>
      <c r="F190" s="221"/>
      <c r="G190" s="218"/>
      <c r="H190" s="221"/>
      <c r="I190" s="218"/>
      <c r="J190" s="471"/>
      <c r="K190" s="551"/>
      <c r="L190" s="543"/>
      <c r="M190" s="543"/>
      <c r="N190" s="543"/>
      <c r="O190" s="543"/>
      <c r="P190" s="543"/>
    </row>
    <row r="191" x14ac:dyDescent="0.25">
      <c r="A191" s="417"/>
      <c r="B191" s="469"/>
      <c r="C191" s="280"/>
      <c r="D191" s="369"/>
      <c r="E191" s="218"/>
      <c r="F191" s="221"/>
      <c r="G191" s="218"/>
      <c r="H191" s="221"/>
      <c r="I191" s="218"/>
      <c r="J191" s="472"/>
      <c r="K191" s="551"/>
      <c r="L191" s="543"/>
      <c r="M191" s="543"/>
      <c r="N191" s="543"/>
      <c r="O191" s="543"/>
      <c r="P191" s="543"/>
    </row>
    <row r="192" x14ac:dyDescent="0.25">
      <c r="A192" s="424"/>
      <c r="B192" s="473" t="s">
        <v>308</v>
      </c>
      <c r="C192" s="267"/>
      <c r="D192" s="437"/>
      <c r="E192" s="33"/>
      <c r="F192" s="34"/>
      <c r="G192" s="33"/>
      <c r="H192" s="34"/>
      <c r="I192" s="33"/>
      <c r="J192" s="437"/>
      <c r="K192" s="551" t="inlineStr">
        <is>
          <t xml:space="preserve">zu klären</t>
        </is>
      </c>
      <c r="L192" s="543" t="inlineStr">
        <is>
          <t xml:space="preserve">—</t>
        </is>
      </c>
      <c r="M192" s="543" t="inlineStr">
        <is>
          <t xml:space="preserve">—</t>
        </is>
      </c>
      <c r="N192" s="543" t="inlineStr">
        <is>
          <t xml:space="preserve">—</t>
        </is>
      </c>
      <c r="O192" s="543" t="inlineStr">
        <is>
          <t xml:space="preserve">Matrix: Abgleich mit den Referaten offen</t>
        </is>
      </c>
      <c r="P192" s="543" t="inlineStr">
        <is>
          <t xml:space="preserve">offen</t>
        </is>
      </c>
    </row>
    <row r="193" x14ac:dyDescent="0.25">
      <c r="A193" s="425"/>
      <c r="B193" s="474"/>
      <c r="C193" s="268"/>
      <c r="D193" s="438"/>
      <c r="E193" s="33"/>
      <c r="F193" s="34"/>
      <c r="G193" s="33"/>
      <c r="H193" s="34"/>
      <c r="I193" s="33"/>
      <c r="J193" s="438"/>
      <c r="K193" s="551"/>
      <c r="L193" s="543"/>
      <c r="M193" s="543"/>
      <c r="N193" s="543"/>
      <c r="O193" s="543"/>
      <c r="P193" s="543"/>
    </row>
    <row r="194" x14ac:dyDescent="0.25">
      <c r="A194" s="425"/>
      <c r="B194" s="474"/>
      <c r="C194" s="268"/>
      <c r="D194" s="438"/>
      <c r="E194" s="33"/>
      <c r="F194" s="34"/>
      <c r="G194" s="33"/>
      <c r="H194" s="34"/>
      <c r="I194" s="33"/>
      <c r="J194" s="438"/>
      <c r="K194" s="551"/>
      <c r="L194" s="543"/>
      <c r="M194" s="543"/>
      <c r="N194" s="543"/>
      <c r="O194" s="543"/>
      <c r="P194" s="543"/>
    </row>
    <row r="195" x14ac:dyDescent="0.25">
      <c r="A195" s="425"/>
      <c r="B195" s="474"/>
      <c r="C195" s="268"/>
      <c r="D195" s="438"/>
      <c r="E195" s="33"/>
      <c r="F195" s="34"/>
      <c r="G195" s="33"/>
      <c r="H195" s="34"/>
      <c r="I195" s="33"/>
      <c r="J195" s="438"/>
      <c r="K195" s="551"/>
      <c r="L195" s="543"/>
      <c r="M195" s="543"/>
      <c r="N195" s="543"/>
      <c r="O195" s="543"/>
      <c r="P195" s="543"/>
    </row>
    <row r="196" x14ac:dyDescent="0.25">
      <c r="A196" s="426"/>
      <c r="B196" s="475"/>
      <c r="C196" s="269"/>
      <c r="D196" s="439"/>
      <c r="E196" s="33"/>
      <c r="F196" s="34"/>
      <c r="G196" s="33"/>
      <c r="H196" s="34"/>
      <c r="I196" s="33"/>
      <c r="J196" s="439"/>
      <c r="K196" s="551"/>
      <c r="L196" s="543"/>
      <c r="M196" s="543"/>
      <c r="N196" s="543"/>
      <c r="O196" s="543"/>
      <c r="P196" s="543"/>
    </row>
    <row r="197" x14ac:dyDescent="0.25">
      <c r="A197" s="415"/>
      <c r="B197" s="467" t="s">
        <v>309</v>
      </c>
      <c r="C197" s="278"/>
      <c r="D197" s="392"/>
      <c r="E197" s="225" t="s">
        <v>310</v>
      </c>
      <c r="F197" s="24"/>
      <c r="G197" s="23"/>
      <c r="H197" s="24"/>
      <c r="I197" s="23"/>
      <c r="J197" s="392"/>
      <c r="K197" s="549" t="inlineStr">
        <is>
          <t xml:space="preserve">Fritsch: gestrichen</t>
        </is>
      </c>
      <c r="L197" s="543" t="inlineStr">
        <is>
          <t xml:space="preserve">—</t>
        </is>
      </c>
      <c r="M197" s="543" t="inlineStr">
        <is>
          <t xml:space="preserve">—</t>
        </is>
      </c>
      <c r="N197" s="543" t="inlineStr">
        <is>
          <t xml:space="preserve">—</t>
        </is>
      </c>
      <c r="O197" s="543" t="inlineStr">
        <is>
          <t xml:space="preserve">Kalender: Betriebsversammlung SBO gestrichen</t>
        </is>
      </c>
      <c r="P197" s="543" t="inlineStr">
        <is>
          <t xml:space="preserve">nicht gewünscht (Fritsch)</t>
        </is>
      </c>
    </row>
    <row r="198" x14ac:dyDescent="0.25">
      <c r="A198" s="416"/>
      <c r="B198" s="468"/>
      <c r="C198" s="279"/>
      <c r="D198" s="393"/>
      <c r="E198" s="23"/>
      <c r="F198" s="24"/>
      <c r="G198" s="23"/>
      <c r="H198" s="24"/>
      <c r="I198" s="23"/>
      <c r="J198" s="393"/>
      <c r="K198" s="549"/>
      <c r="L198" s="543"/>
      <c r="M198" s="543"/>
      <c r="N198" s="543"/>
      <c r="O198" s="543"/>
      <c r="P198" s="543"/>
    </row>
    <row r="199" x14ac:dyDescent="0.25">
      <c r="A199" s="416"/>
      <c r="B199" s="468"/>
      <c r="C199" s="279"/>
      <c r="D199" s="393"/>
      <c r="E199" s="23"/>
      <c r="F199" s="24"/>
      <c r="G199" s="23"/>
      <c r="H199" s="24"/>
      <c r="I199" s="23"/>
      <c r="J199" s="393"/>
      <c r="K199" s="549"/>
      <c r="L199" s="543"/>
      <c r="M199" s="543"/>
      <c r="N199" s="543"/>
      <c r="O199" s="543"/>
      <c r="P199" s="543"/>
    </row>
    <row r="200" x14ac:dyDescent="0.25">
      <c r="A200" s="416"/>
      <c r="B200" s="468"/>
      <c r="C200" s="279"/>
      <c r="D200" s="393"/>
      <c r="E200" s="23"/>
      <c r="F200" s="24"/>
      <c r="G200" s="23"/>
      <c r="H200" s="24"/>
      <c r="I200" s="23"/>
      <c r="J200" s="393"/>
      <c r="K200" s="549"/>
      <c r="L200" s="543"/>
      <c r="M200" s="543"/>
      <c r="N200" s="543"/>
      <c r="O200" s="543"/>
      <c r="P200" s="543"/>
    </row>
    <row r="201" x14ac:dyDescent="0.25">
      <c r="A201" s="417"/>
      <c r="B201" s="469"/>
      <c r="C201" s="280"/>
      <c r="D201" s="394"/>
      <c r="E201" s="23"/>
      <c r="F201" s="24"/>
      <c r="G201" s="23"/>
      <c r="H201" s="24"/>
      <c r="I201" s="23"/>
      <c r="J201" s="394"/>
      <c r="K201" s="549"/>
      <c r="L201" s="543"/>
      <c r="M201" s="543"/>
      <c r="N201" s="543"/>
      <c r="O201" s="543"/>
      <c r="P201" s="543"/>
    </row>
    <row r="202" spans="1:10" x14ac:dyDescent="0.25">
      <c r="A202" s="424"/>
      <c r="B202" s="437"/>
      <c r="C202" s="260"/>
      <c r="D202" s="437"/>
      <c r="E202" s="33"/>
      <c r="F202" s="34"/>
      <c r="G202" s="33"/>
      <c r="H202" s="34"/>
      <c r="I202" s="33"/>
      <c r="J202" s="437"/>
    </row>
    <row r="203" spans="1:10" x14ac:dyDescent="0.25">
      <c r="A203" s="425"/>
      <c r="B203" s="438"/>
      <c r="C203" s="261"/>
      <c r="D203" s="438"/>
      <c r="E203" s="33"/>
      <c r="F203" s="34"/>
      <c r="G203" s="33"/>
      <c r="H203" s="34"/>
      <c r="I203" s="33"/>
      <c r="J203" s="438"/>
    </row>
    <row r="204" spans="1:10" x14ac:dyDescent="0.25">
      <c r="A204" s="425"/>
      <c r="B204" s="438"/>
      <c r="C204" s="261"/>
      <c r="D204" s="438"/>
      <c r="E204" s="33"/>
      <c r="F204" s="34"/>
      <c r="G204" s="33"/>
      <c r="H204" s="34"/>
      <c r="I204" s="33"/>
      <c r="J204" s="438"/>
    </row>
    <row r="205" spans="1:10" x14ac:dyDescent="0.25">
      <c r="A205" s="425"/>
      <c r="B205" s="438"/>
      <c r="C205" s="261"/>
      <c r="D205" s="438"/>
      <c r="E205" s="33"/>
      <c r="F205" s="34"/>
      <c r="G205" s="33"/>
      <c r="H205" s="34"/>
      <c r="I205" s="33"/>
      <c r="J205" s="438"/>
    </row>
    <row r="206" spans="1:10" x14ac:dyDescent="0.25">
      <c r="A206" s="426"/>
      <c r="B206" s="439"/>
      <c r="C206" s="262"/>
      <c r="D206" s="439"/>
      <c r="E206" s="33"/>
      <c r="F206" s="34"/>
      <c r="G206" s="33"/>
      <c r="H206" s="34"/>
      <c r="I206" s="33"/>
      <c r="J206" s="439"/>
    </row>
    <row r="207" spans="1:10" x14ac:dyDescent="0.25">
      <c r="A207" s="415"/>
      <c r="B207" s="392"/>
      <c r="C207" s="273"/>
      <c r="D207" s="392"/>
      <c r="E207" s="23"/>
      <c r="F207" s="24"/>
      <c r="G207" s="23"/>
      <c r="H207" s="24"/>
      <c r="I207" s="23"/>
      <c r="J207" s="392"/>
    </row>
    <row r="208" spans="1:10" x14ac:dyDescent="0.25">
      <c r="A208" s="416"/>
      <c r="B208" s="393"/>
      <c r="C208" s="271"/>
      <c r="D208" s="393"/>
      <c r="E208" s="23"/>
      <c r="F208" s="24"/>
      <c r="G208" s="23"/>
      <c r="H208" s="24"/>
      <c r="I208" s="23"/>
      <c r="J208" s="393"/>
    </row>
    <row r="209" spans="1:10" x14ac:dyDescent="0.25">
      <c r="A209" s="416"/>
      <c r="B209" s="393"/>
      <c r="C209" s="271"/>
      <c r="D209" s="393"/>
      <c r="E209" s="23"/>
      <c r="F209" s="24"/>
      <c r="G209" s="23"/>
      <c r="H209" s="24"/>
      <c r="I209" s="23"/>
      <c r="J209" s="393"/>
    </row>
    <row r="210" spans="1:10" x14ac:dyDescent="0.25">
      <c r="A210" s="416"/>
      <c r="B210" s="393"/>
      <c r="C210" s="271"/>
      <c r="D210" s="393"/>
      <c r="E210" s="23"/>
      <c r="F210" s="24"/>
      <c r="G210" s="23"/>
      <c r="H210" s="24"/>
      <c r="I210" s="23"/>
      <c r="J210" s="393"/>
    </row>
    <row r="211" spans="1:10" x14ac:dyDescent="0.25">
      <c r="A211" s="417"/>
      <c r="B211" s="394"/>
      <c r="C211" s="272"/>
      <c r="D211" s="394"/>
      <c r="E211" s="23"/>
      <c r="F211" s="24"/>
      <c r="G211" s="23"/>
      <c r="H211" s="24"/>
      <c r="I211" s="23"/>
      <c r="J211" s="394"/>
    </row>
    <row r="212" spans="1:10" x14ac:dyDescent="0.25">
      <c r="A212" s="424"/>
      <c r="B212" s="437"/>
      <c r="C212" s="260"/>
      <c r="D212" s="514" t="s">
        <v>311</v>
      </c>
      <c r="E212" s="33"/>
      <c r="F212" s="34"/>
      <c r="G212" s="33"/>
      <c r="H212" s="34"/>
      <c r="I212" s="33"/>
      <c r="J212" s="437"/>
    </row>
    <row r="213" spans="1:10" x14ac:dyDescent="0.25">
      <c r="A213" s="425"/>
      <c r="B213" s="438"/>
      <c r="C213" s="261"/>
      <c r="D213" s="515"/>
      <c r="E213" s="33"/>
      <c r="F213" s="34"/>
      <c r="G213" s="33"/>
      <c r="H213" s="34"/>
      <c r="I213" s="33"/>
      <c r="J213" s="438"/>
    </row>
    <row r="214" spans="1:10" x14ac:dyDescent="0.25">
      <c r="A214" s="425"/>
      <c r="B214" s="438"/>
      <c r="C214" s="261"/>
      <c r="D214" s="515"/>
      <c r="E214" s="33"/>
      <c r="F214" s="34"/>
      <c r="G214" s="33"/>
      <c r="H214" s="34"/>
      <c r="I214" s="33"/>
      <c r="J214" s="438"/>
    </row>
    <row r="215" spans="1:10" x14ac:dyDescent="0.25">
      <c r="A215" s="425"/>
      <c r="B215" s="438"/>
      <c r="C215" s="261"/>
      <c r="D215" s="515"/>
      <c r="E215" s="33"/>
      <c r="F215" s="34"/>
      <c r="G215" s="33"/>
      <c r="H215" s="34"/>
      <c r="I215" s="33"/>
      <c r="J215" s="438"/>
    </row>
    <row r="216" spans="1:10" x14ac:dyDescent="0.25">
      <c r="A216" s="426"/>
      <c r="B216" s="439"/>
      <c r="C216" s="262"/>
      <c r="D216" s="516"/>
      <c r="E216" s="33"/>
      <c r="F216" s="34"/>
      <c r="G216" s="33"/>
      <c r="H216" s="34"/>
      <c r="I216" s="33"/>
      <c r="J216" s="439"/>
    </row>
    <row r="217" spans="1:10" x14ac:dyDescent="0.25">
      <c r="A217" s="415"/>
      <c r="B217" s="392"/>
      <c r="C217" s="115"/>
      <c r="D217" s="392" t="s">
        <v>312</v>
      </c>
      <c r="E217" s="23"/>
      <c r="F217" s="24"/>
      <c r="G217" s="23"/>
      <c r="H217" s="24"/>
      <c r="I217" s="23"/>
      <c r="J217" s="392" t="s">
        <v>313</v>
      </c>
    </row>
    <row r="218" spans="1:10" x14ac:dyDescent="0.25">
      <c r="A218" s="416"/>
      <c r="B218" s="393"/>
      <c r="C218" s="116"/>
      <c r="D218" s="393"/>
      <c r="E218" s="23"/>
      <c r="F218" s="24"/>
      <c r="G218" s="23"/>
      <c r="H218" s="24"/>
      <c r="I218" s="23"/>
      <c r="J218" s="393"/>
    </row>
    <row r="219" spans="1:10" x14ac:dyDescent="0.25">
      <c r="A219" s="416"/>
      <c r="B219" s="393"/>
      <c r="C219" s="116"/>
      <c r="D219" s="393"/>
      <c r="E219" s="23"/>
      <c r="F219" s="24"/>
      <c r="G219" s="23"/>
      <c r="H219" s="24"/>
      <c r="I219" s="23"/>
      <c r="J219" s="393"/>
    </row>
    <row r="220" spans="1:10" x14ac:dyDescent="0.25">
      <c r="A220" s="416"/>
      <c r="B220" s="393"/>
      <c r="C220" s="116"/>
      <c r="D220" s="393"/>
      <c r="E220" s="23"/>
      <c r="F220" s="24"/>
      <c r="G220" s="23"/>
      <c r="H220" s="24"/>
      <c r="I220" s="23"/>
      <c r="J220" s="393"/>
    </row>
    <row r="221" spans="1:10" x14ac:dyDescent="0.25">
      <c r="A221" s="417"/>
      <c r="B221" s="394"/>
      <c r="C221" s="117"/>
      <c r="D221" s="394"/>
      <c r="E221" s="23"/>
      <c r="F221" s="24"/>
      <c r="G221" s="23"/>
      <c r="H221" s="24"/>
      <c r="I221" s="23"/>
      <c r="J221" s="394"/>
    </row>
    <row r="222" spans="1:10" x14ac:dyDescent="0.25">
      <c r="B222"/>
      <c r="C222"/>
      <c r="D222" s="1"/>
      <c r="F222"/>
      <c r="G222" s="1"/>
      <c r="H222"/>
      <c r="I222" s="1"/>
    </row>
  </sheetData>
  <mergeCells count="383">
    <mergeCell ref="A217:A221"/>
    <mergeCell ref="B217:B221"/>
    <mergeCell ref="D217:D221"/>
    <mergeCell ref="J217:J221"/>
    <mergeCell ref="A202:A206"/>
    <mergeCell ref="B202:B206"/>
    <mergeCell ref="D202:D206"/>
    <mergeCell ref="J202:J206"/>
    <mergeCell ref="A207:A211"/>
    <mergeCell ref="B207:B211"/>
    <mergeCell ref="D207:D211"/>
    <mergeCell ref="J207:J211"/>
    <mergeCell ref="A212:A216"/>
    <mergeCell ref="B212:B216"/>
    <mergeCell ref="D212:D216"/>
    <mergeCell ref="J212:J216"/>
    <mergeCell ref="B67:B71"/>
    <mergeCell ref="D67:D71"/>
    <mergeCell ref="D21:D25"/>
    <mergeCell ref="B21:B25"/>
    <mergeCell ref="B26:B29"/>
    <mergeCell ref="D26:D29"/>
    <mergeCell ref="J2:J6"/>
    <mergeCell ref="J7:J11"/>
    <mergeCell ref="J12:J16"/>
    <mergeCell ref="J21:J25"/>
    <mergeCell ref="J26:J29"/>
    <mergeCell ref="D2:D6"/>
    <mergeCell ref="B2:B6"/>
    <mergeCell ref="B7:B11"/>
    <mergeCell ref="D7:D11"/>
    <mergeCell ref="B12:B16"/>
    <mergeCell ref="D12:D16"/>
    <mergeCell ref="B47:B51"/>
    <mergeCell ref="D47:D51"/>
    <mergeCell ref="B52:B56"/>
    <mergeCell ref="D52:D56"/>
    <mergeCell ref="J47:J51"/>
    <mergeCell ref="J52:J56"/>
    <mergeCell ref="J42:J46"/>
    <mergeCell ref="B132:B136"/>
    <mergeCell ref="J132:J136"/>
    <mergeCell ref="J127:J131"/>
    <mergeCell ref="D72:D76"/>
    <mergeCell ref="D103:D107"/>
    <mergeCell ref="D127:D131"/>
    <mergeCell ref="J72:J76"/>
    <mergeCell ref="J103:J107"/>
    <mergeCell ref="J109:J116"/>
    <mergeCell ref="J117:J121"/>
    <mergeCell ref="D109:D116"/>
    <mergeCell ref="D117:D121"/>
    <mergeCell ref="D122:D126"/>
    <mergeCell ref="J122:J126"/>
    <mergeCell ref="B127:B131"/>
    <mergeCell ref="B109:B116"/>
    <mergeCell ref="B117:B121"/>
    <mergeCell ref="B122:B126"/>
    <mergeCell ref="B82:B88"/>
    <mergeCell ref="D82:D88"/>
    <mergeCell ref="B103:B107"/>
    <mergeCell ref="B96:B102"/>
    <mergeCell ref="D96:D102"/>
    <mergeCell ref="B89:B95"/>
    <mergeCell ref="B147:B151"/>
    <mergeCell ref="D147:D151"/>
    <mergeCell ref="J147:J151"/>
    <mergeCell ref="B152:B156"/>
    <mergeCell ref="D152:D156"/>
    <mergeCell ref="J152:J156"/>
    <mergeCell ref="B137:B141"/>
    <mergeCell ref="D137:D141"/>
    <mergeCell ref="J137:J141"/>
    <mergeCell ref="B142:B146"/>
    <mergeCell ref="D142:D146"/>
    <mergeCell ref="J142:J146"/>
    <mergeCell ref="D89:D95"/>
    <mergeCell ref="J89:J95"/>
    <mergeCell ref="J96:J102"/>
    <mergeCell ref="B197:B201"/>
    <mergeCell ref="D197:D201"/>
    <mergeCell ref="J197:J201"/>
    <mergeCell ref="B187:B191"/>
    <mergeCell ref="D187:D191"/>
    <mergeCell ref="J187:J191"/>
    <mergeCell ref="B192:B196"/>
    <mergeCell ref="D192:D196"/>
    <mergeCell ref="J192:J196"/>
    <mergeCell ref="B167:B171"/>
    <mergeCell ref="D167:D171"/>
    <mergeCell ref="J167:J171"/>
    <mergeCell ref="B172:B176"/>
    <mergeCell ref="D172:D176"/>
    <mergeCell ref="J172:J176"/>
    <mergeCell ref="B157:B161"/>
    <mergeCell ref="D157:D161"/>
    <mergeCell ref="J157:J161"/>
    <mergeCell ref="B162:B166"/>
    <mergeCell ref="D162:D166"/>
    <mergeCell ref="J162:J166"/>
    <mergeCell ref="A2:A6"/>
    <mergeCell ref="A7:A11"/>
    <mergeCell ref="A12:A16"/>
    <mergeCell ref="A21:A25"/>
    <mergeCell ref="A26:A29"/>
    <mergeCell ref="B77:B81"/>
    <mergeCell ref="D77:D81"/>
    <mergeCell ref="J77:J81"/>
    <mergeCell ref="J82:J88"/>
    <mergeCell ref="B72:B76"/>
    <mergeCell ref="J62:J66"/>
    <mergeCell ref="J67:J71"/>
    <mergeCell ref="J30:J36"/>
    <mergeCell ref="B30:B36"/>
    <mergeCell ref="D30:D36"/>
    <mergeCell ref="B57:B61"/>
    <mergeCell ref="D57:D61"/>
    <mergeCell ref="J57:J61"/>
    <mergeCell ref="D37:D41"/>
    <mergeCell ref="B37:B41"/>
    <mergeCell ref="B42:B46"/>
    <mergeCell ref="D42:D46"/>
    <mergeCell ref="B62:B66"/>
    <mergeCell ref="D62:D66"/>
    <mergeCell ref="A109:A116"/>
    <mergeCell ref="A117:A121"/>
    <mergeCell ref="A103:A107"/>
    <mergeCell ref="A67:A71"/>
    <mergeCell ref="A77:A81"/>
    <mergeCell ref="A82:A88"/>
    <mergeCell ref="A30:A36"/>
    <mergeCell ref="A37:A41"/>
    <mergeCell ref="A42:A46"/>
    <mergeCell ref="A57:A61"/>
    <mergeCell ref="A62:A66"/>
    <mergeCell ref="A47:A51"/>
    <mergeCell ref="A52:A56"/>
    <mergeCell ref="A72:A76"/>
    <mergeCell ref="D182:D186"/>
    <mergeCell ref="J177:J180"/>
    <mergeCell ref="J182:J186"/>
    <mergeCell ref="C147:C151"/>
    <mergeCell ref="C103:C107"/>
    <mergeCell ref="C72:C76"/>
    <mergeCell ref="C2:C6"/>
    <mergeCell ref="A197:A201"/>
    <mergeCell ref="A162:A166"/>
    <mergeCell ref="A172:A176"/>
    <mergeCell ref="A192:A196"/>
    <mergeCell ref="A147:A151"/>
    <mergeCell ref="A152:A156"/>
    <mergeCell ref="A157:A161"/>
    <mergeCell ref="A167:A171"/>
    <mergeCell ref="A187:A191"/>
    <mergeCell ref="A122:A126"/>
    <mergeCell ref="A127:A131"/>
    <mergeCell ref="A132:A136"/>
    <mergeCell ref="A137:A141"/>
    <mergeCell ref="A142:A146"/>
    <mergeCell ref="A89:A95"/>
    <mergeCell ref="A96:A102"/>
    <mergeCell ref="K2:K6"/>
    <mergeCell ref="L2:L6"/>
    <mergeCell ref="M2:M6"/>
    <mergeCell ref="N2:N6"/>
    <mergeCell ref="O2:O6"/>
    <mergeCell ref="P2:P6"/>
    <mergeCell ref="K7:K11"/>
    <mergeCell ref="L7:L11"/>
    <mergeCell ref="M7:M11"/>
    <mergeCell ref="N7:N11"/>
    <mergeCell ref="O7:O11"/>
    <mergeCell ref="P7:P11"/>
    <mergeCell ref="K21:K25"/>
    <mergeCell ref="L21:L25"/>
    <mergeCell ref="M21:M25"/>
    <mergeCell ref="N21:N25"/>
    <mergeCell ref="O21:O25"/>
    <mergeCell ref="P21:P25"/>
    <mergeCell ref="K26:K29"/>
    <mergeCell ref="L26:L29"/>
    <mergeCell ref="M26:M29"/>
    <mergeCell ref="N26:N29"/>
    <mergeCell ref="O26:O29"/>
    <mergeCell ref="P26:P29"/>
    <mergeCell ref="K30:K36"/>
    <mergeCell ref="L30:L36"/>
    <mergeCell ref="M30:M36"/>
    <mergeCell ref="N30:N36"/>
    <mergeCell ref="O30:O36"/>
    <mergeCell ref="P30:P36"/>
    <mergeCell ref="K37:K41"/>
    <mergeCell ref="L37:L41"/>
    <mergeCell ref="M37:M41"/>
    <mergeCell ref="N37:N41"/>
    <mergeCell ref="O37:O41"/>
    <mergeCell ref="P37:P41"/>
    <mergeCell ref="K42:K46"/>
    <mergeCell ref="L42:L46"/>
    <mergeCell ref="M42:M46"/>
    <mergeCell ref="N42:N46"/>
    <mergeCell ref="O42:O46"/>
    <mergeCell ref="P42:P46"/>
    <mergeCell ref="K47:K51"/>
    <mergeCell ref="L47:L51"/>
    <mergeCell ref="M47:M51"/>
    <mergeCell ref="N47:N51"/>
    <mergeCell ref="O47:O51"/>
    <mergeCell ref="P47:P51"/>
    <mergeCell ref="K52:K56"/>
    <mergeCell ref="L52:L56"/>
    <mergeCell ref="M52:M56"/>
    <mergeCell ref="N52:N56"/>
    <mergeCell ref="O52:O56"/>
    <mergeCell ref="P52:P56"/>
    <mergeCell ref="K57:K61"/>
    <mergeCell ref="L57:L61"/>
    <mergeCell ref="M57:M61"/>
    <mergeCell ref="N57:N61"/>
    <mergeCell ref="O57:O61"/>
    <mergeCell ref="P57:P61"/>
    <mergeCell ref="K62:K66"/>
    <mergeCell ref="L62:L66"/>
    <mergeCell ref="M62:M66"/>
    <mergeCell ref="N62:N66"/>
    <mergeCell ref="O62:O66"/>
    <mergeCell ref="P62:P66"/>
    <mergeCell ref="K67:K71"/>
    <mergeCell ref="L67:L71"/>
    <mergeCell ref="M67:M71"/>
    <mergeCell ref="N67:N71"/>
    <mergeCell ref="O67:O71"/>
    <mergeCell ref="P67:P71"/>
    <mergeCell ref="K72:K76"/>
    <mergeCell ref="L72:L76"/>
    <mergeCell ref="M72:M76"/>
    <mergeCell ref="N72:N76"/>
    <mergeCell ref="O72:O76"/>
    <mergeCell ref="P72:P76"/>
    <mergeCell ref="K77:K81"/>
    <mergeCell ref="L77:L81"/>
    <mergeCell ref="M77:M81"/>
    <mergeCell ref="N77:N81"/>
    <mergeCell ref="O77:O81"/>
    <mergeCell ref="P77:P81"/>
    <mergeCell ref="K82:K88"/>
    <mergeCell ref="L82:L88"/>
    <mergeCell ref="M82:M88"/>
    <mergeCell ref="N82:N88"/>
    <mergeCell ref="O82:O88"/>
    <mergeCell ref="P82:P88"/>
    <mergeCell ref="K89:K95"/>
    <mergeCell ref="L89:L95"/>
    <mergeCell ref="M89:M95"/>
    <mergeCell ref="N89:N95"/>
    <mergeCell ref="O89:O95"/>
    <mergeCell ref="P89:P95"/>
    <mergeCell ref="K96:K102"/>
    <mergeCell ref="L96:L102"/>
    <mergeCell ref="M96:M102"/>
    <mergeCell ref="N96:N102"/>
    <mergeCell ref="O96:O102"/>
    <mergeCell ref="P96:P102"/>
    <mergeCell ref="K103:K107"/>
    <mergeCell ref="L103:L107"/>
    <mergeCell ref="M103:M107"/>
    <mergeCell ref="N103:N107"/>
    <mergeCell ref="O103:O107"/>
    <mergeCell ref="P103:P107"/>
    <mergeCell ref="K109:K116"/>
    <mergeCell ref="L109:L116"/>
    <mergeCell ref="M109:M116"/>
    <mergeCell ref="N109:N116"/>
    <mergeCell ref="O109:O116"/>
    <mergeCell ref="P109:P116"/>
    <mergeCell ref="K117:K121"/>
    <mergeCell ref="L117:L121"/>
    <mergeCell ref="M117:M121"/>
    <mergeCell ref="N117:N121"/>
    <mergeCell ref="O117:O121"/>
    <mergeCell ref="P117:P121"/>
    <mergeCell ref="K122:K126"/>
    <mergeCell ref="L122:L126"/>
    <mergeCell ref="M122:M126"/>
    <mergeCell ref="N122:N126"/>
    <mergeCell ref="O122:O126"/>
    <mergeCell ref="P122:P126"/>
    <mergeCell ref="K127:K131"/>
    <mergeCell ref="L127:L131"/>
    <mergeCell ref="M127:M131"/>
    <mergeCell ref="N127:N131"/>
    <mergeCell ref="O127:O131"/>
    <mergeCell ref="P127:P131"/>
    <mergeCell ref="K134:K136"/>
    <mergeCell ref="L134:L136"/>
    <mergeCell ref="M134:M136"/>
    <mergeCell ref="N134:N136"/>
    <mergeCell ref="O134:O136"/>
    <mergeCell ref="P134:P136"/>
    <mergeCell ref="K137:K141"/>
    <mergeCell ref="L137:L141"/>
    <mergeCell ref="M137:M141"/>
    <mergeCell ref="N137:N141"/>
    <mergeCell ref="O137:O141"/>
    <mergeCell ref="P137:P141"/>
    <mergeCell ref="K142:K146"/>
    <mergeCell ref="L142:L146"/>
    <mergeCell ref="M142:M146"/>
    <mergeCell ref="N142:N146"/>
    <mergeCell ref="O142:O146"/>
    <mergeCell ref="P142:P146"/>
    <mergeCell ref="K147:K151"/>
    <mergeCell ref="L147:L151"/>
    <mergeCell ref="M147:M151"/>
    <mergeCell ref="N147:N151"/>
    <mergeCell ref="O147:O151"/>
    <mergeCell ref="P147:P151"/>
    <mergeCell ref="K152:K156"/>
    <mergeCell ref="L152:L156"/>
    <mergeCell ref="M152:M156"/>
    <mergeCell ref="N152:N156"/>
    <mergeCell ref="O152:O156"/>
    <mergeCell ref="P152:P156"/>
    <mergeCell ref="K157:K161"/>
    <mergeCell ref="L157:L161"/>
    <mergeCell ref="M157:M161"/>
    <mergeCell ref="N157:N161"/>
    <mergeCell ref="O157:O161"/>
    <mergeCell ref="P157:P161"/>
    <mergeCell ref="K162:K166"/>
    <mergeCell ref="L162:L166"/>
    <mergeCell ref="M162:M166"/>
    <mergeCell ref="N162:N166"/>
    <mergeCell ref="O162:O166"/>
    <mergeCell ref="P162:P166"/>
    <mergeCell ref="K167:K171"/>
    <mergeCell ref="L167:L171"/>
    <mergeCell ref="M167:M171"/>
    <mergeCell ref="N167:N171"/>
    <mergeCell ref="O167:O171"/>
    <mergeCell ref="P167:P171"/>
    <mergeCell ref="K172:K179"/>
    <mergeCell ref="L172:L179"/>
    <mergeCell ref="M172:M179"/>
    <mergeCell ref="N172:N179"/>
    <mergeCell ref="O172:O179"/>
    <mergeCell ref="P172:P179"/>
    <mergeCell ref="K180:K183"/>
    <mergeCell ref="L180:L183"/>
    <mergeCell ref="M180:M183"/>
    <mergeCell ref="N180:N183"/>
    <mergeCell ref="O180:O183"/>
    <mergeCell ref="P180:P183"/>
    <mergeCell ref="K184:K186"/>
    <mergeCell ref="L184:L186"/>
    <mergeCell ref="M184:M186"/>
    <mergeCell ref="N184:N186"/>
    <mergeCell ref="O184:O186"/>
    <mergeCell ref="P184:P186"/>
    <mergeCell ref="K187:K191"/>
    <mergeCell ref="L187:L191"/>
    <mergeCell ref="M187:M191"/>
    <mergeCell ref="N187:N191"/>
    <mergeCell ref="O187:O191"/>
    <mergeCell ref="P187:P191"/>
    <mergeCell ref="K192:K196"/>
    <mergeCell ref="L192:L196"/>
    <mergeCell ref="M192:M196"/>
    <mergeCell ref="N192:N196"/>
    <mergeCell ref="O192:O196"/>
    <mergeCell ref="P192:P196"/>
    <mergeCell ref="K197:K201"/>
    <mergeCell ref="L197:L201"/>
    <mergeCell ref="M197:M201"/>
    <mergeCell ref="N197:N201"/>
    <mergeCell ref="O197:O201"/>
    <mergeCell ref="P197:P201"/>
    <mergeCell ref="K12:K16"/>
    <mergeCell ref="L12:L16"/>
    <mergeCell ref="M12:M16"/>
    <mergeCell ref="N12:N16"/>
    <mergeCell ref="O12:O16"/>
    <mergeCell ref="P12:P16"/>
  </mergeCells>
  <dataValidations count="3">
    <dataValidation type="list" allowBlank="1" showInputMessage="1" showErrorMessage="1" sqref="F2:F221" xr:uid="{FE16D14A-BF88-474C-989F-699B0055A7E0}">
      <formula1>TeilnehmerAuswahl</formula1>
    </dataValidation>
    <dataValidation type="list" allowBlank="1" showInputMessage="1" showErrorMessage="1" sqref="G2:G221" xr:uid="{958EF091-77F7-4399-9D48-68CE7072306D}">
      <formula1>TerminfrequenzAuswahl</formula1>
    </dataValidation>
    <dataValidation type="list" allowBlank="1" showInputMessage="1" showErrorMessage="1" sqref="P42 P47 P72 P77 P82 P103 P109 P132 P133 P152 P157 P162 P167 P172 P184 P187 P192 P197">
      <formula1>"offen,Matrix gilt,Kalender-Wert gilt (Fritsch),nicht gewünscht (Fritsch)"</formula1>
    </dataValidation>
  </dataValidations>
  <pageMargins left="0" right="0" top="0.19685039370078741" bottom="0" header="0" footer="0"/>
  <pageSetup paperSize="8" scale="91" fitToHeight="0" orientation="landscape" r:id="rId1"/>
  <rowBreaks count="7" manualBreakCount="7">
    <brk id="36" max="16383" man="1"/>
    <brk id="51" max="16383" man="1"/>
    <brk id="71" max="16383" man="1"/>
    <brk id="95" max="16383" man="1"/>
    <brk id="121" max="8" man="1"/>
    <brk id="131" max="16383" man="1"/>
    <brk id="146" max="16383" man="1"/>
  </rowBreaks>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39FF779-603C-437B-A811-8B9BEE94E48B}">
          <x14:formula1>
            <xm:f>Tabelle1!$A$105:$A$111</xm:f>
          </x14:formula1>
          <xm:sqref>H2:H108 H110:H221</xm:sqref>
        </x14:dataValidation>
        <x14:dataValidation type="list" allowBlank="1" showInputMessage="1" showErrorMessage="1" xr:uid="{58B7DF51-A5B8-4A39-8551-873C06673BAB}">
          <x14:formula1>
            <xm:f>Tabelle1!$A$58:$A$66</xm:f>
          </x14:formula1>
          <xm:sqref>E2:E221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7C1E-E152-4180-BA37-4653C6E3B555}">
  <sheetPr codeName="Tabelle4"/>
  <dimension ref="A1:A120"/>
  <sheetViews>
    <sheetView workbookViewId="0">
      <selection activeCell="I27" sqref="I27"/>
    </sheetView>
  </sheetViews>
  <sheetFormatPr baseColWidth="10" defaultColWidth="11.42578125" defaultRowHeight="15" x14ac:dyDescent="0.25"/>
  <cols>
    <col min="1" max="1" width="32" customWidth="1"/>
  </cols>
  <sheetData>
    <row r="1" spans="1:1" x14ac:dyDescent="0.25">
      <c r="A1" t="s">
        <v>314</v>
      </c>
    </row>
    <row r="2" spans="1:1" x14ac:dyDescent="0.25">
      <c r="A2" t="s">
        <v>50</v>
      </c>
    </row>
    <row r="3" spans="1:1" x14ac:dyDescent="0.25">
      <c r="A3" s="7" t="s">
        <v>95</v>
      </c>
    </row>
    <row r="4" spans="1:1" x14ac:dyDescent="0.25">
      <c r="A4" s="7" t="s">
        <v>139</v>
      </c>
    </row>
    <row r="5" spans="1:1" x14ac:dyDescent="0.25">
      <c r="A5" s="11" t="s">
        <v>140</v>
      </c>
    </row>
    <row r="10" spans="1:1" x14ac:dyDescent="0.25">
      <c r="A10" t="s">
        <v>316</v>
      </c>
    </row>
    <row r="11" spans="1:1" x14ac:dyDescent="0.25">
      <c r="A11" t="s">
        <v>53</v>
      </c>
    </row>
    <row r="12" spans="1:1" x14ac:dyDescent="0.25">
      <c r="A12" t="s">
        <v>174</v>
      </c>
    </row>
    <row r="13" spans="1:1" x14ac:dyDescent="0.25">
      <c r="A13" t="s">
        <v>167</v>
      </c>
    </row>
    <row r="14" spans="1:1" x14ac:dyDescent="0.25">
      <c r="A14" t="s">
        <v>336</v>
      </c>
    </row>
    <row r="15" spans="1:1" x14ac:dyDescent="0.25">
      <c r="A15" t="s">
        <v>347</v>
      </c>
    </row>
    <row r="16" spans="1:1" x14ac:dyDescent="0.25">
      <c r="A16" t="s">
        <v>71</v>
      </c>
    </row>
    <row r="17" spans="1:1" x14ac:dyDescent="0.25">
      <c r="A17" t="s">
        <v>69</v>
      </c>
    </row>
    <row r="18" spans="1:1" x14ac:dyDescent="0.25">
      <c r="A18" t="s">
        <v>72</v>
      </c>
    </row>
    <row r="19" spans="1:1" x14ac:dyDescent="0.25">
      <c r="A19" t="s">
        <v>98</v>
      </c>
    </row>
    <row r="20" spans="1:1" x14ac:dyDescent="0.25">
      <c r="A20" t="s">
        <v>224</v>
      </c>
    </row>
    <row r="21" spans="1:1" x14ac:dyDescent="0.25">
      <c r="A21" t="s">
        <v>67</v>
      </c>
    </row>
    <row r="22" spans="1:1" x14ac:dyDescent="0.25">
      <c r="A22" t="s">
        <v>88</v>
      </c>
    </row>
    <row r="23" spans="1:1" x14ac:dyDescent="0.25">
      <c r="A23" t="s">
        <v>126</v>
      </c>
    </row>
    <row r="24" spans="1:1" x14ac:dyDescent="0.25">
      <c r="A24" t="s">
        <v>39</v>
      </c>
    </row>
    <row r="25" spans="1:1" x14ac:dyDescent="0.25">
      <c r="A25" t="s">
        <v>225</v>
      </c>
    </row>
    <row r="26" spans="1:1" x14ac:dyDescent="0.25">
      <c r="A26" t="s">
        <v>317</v>
      </c>
    </row>
    <row r="27" spans="1:1" ht="30" x14ac:dyDescent="0.25">
      <c r="A27" s="1" t="s">
        <v>150</v>
      </c>
    </row>
    <row r="28" spans="1:1" x14ac:dyDescent="0.25">
      <c r="A28" t="s">
        <v>135</v>
      </c>
    </row>
    <row r="29" spans="1:1" x14ac:dyDescent="0.25">
      <c r="A29" t="s">
        <v>154</v>
      </c>
    </row>
    <row r="30" spans="1:1" x14ac:dyDescent="0.25">
      <c r="A30" t="s">
        <v>55</v>
      </c>
    </row>
    <row r="31" spans="1:1" x14ac:dyDescent="0.25">
      <c r="A31" t="s">
        <v>118</v>
      </c>
    </row>
    <row r="32" spans="1:1" x14ac:dyDescent="0.25">
      <c r="A32" t="s">
        <v>73</v>
      </c>
    </row>
    <row r="33" spans="1:1" x14ac:dyDescent="0.25">
      <c r="A33" t="s">
        <v>344</v>
      </c>
    </row>
    <row r="37" spans="1:1" x14ac:dyDescent="0.25">
      <c r="A37" t="s">
        <v>315</v>
      </c>
    </row>
    <row r="38" spans="1:1" x14ac:dyDescent="0.25">
      <c r="A38" t="s">
        <v>66</v>
      </c>
    </row>
    <row r="39" spans="1:1" x14ac:dyDescent="0.25">
      <c r="A39" t="s">
        <v>52</v>
      </c>
    </row>
    <row r="42" spans="1:1" x14ac:dyDescent="0.25">
      <c r="A42" t="s">
        <v>315</v>
      </c>
    </row>
    <row r="43" spans="1:1" x14ac:dyDescent="0.25">
      <c r="A43" t="s">
        <v>75</v>
      </c>
    </row>
    <row r="44" spans="1:1" x14ac:dyDescent="0.25">
      <c r="A44" t="s">
        <v>49</v>
      </c>
    </row>
    <row r="48" spans="1:1" x14ac:dyDescent="0.25">
      <c r="A48" t="s">
        <v>315</v>
      </c>
    </row>
    <row r="49" spans="1:1" x14ac:dyDescent="0.25">
      <c r="A49" t="s">
        <v>148</v>
      </c>
    </row>
    <row r="50" spans="1:1" x14ac:dyDescent="0.25">
      <c r="A50" t="s">
        <v>86</v>
      </c>
    </row>
    <row r="51" spans="1:1" x14ac:dyDescent="0.25">
      <c r="A51" t="s">
        <v>65</v>
      </c>
    </row>
    <row r="52" spans="1:1" x14ac:dyDescent="0.25">
      <c r="A52" t="s">
        <v>152</v>
      </c>
    </row>
    <row r="53" spans="1:1" x14ac:dyDescent="0.25">
      <c r="A53" t="s">
        <v>142</v>
      </c>
    </row>
    <row r="54" spans="1:1" x14ac:dyDescent="0.25">
      <c r="A54" t="s">
        <v>51</v>
      </c>
    </row>
    <row r="57" spans="1:1" x14ac:dyDescent="0.25">
      <c r="A57" t="s">
        <v>318</v>
      </c>
    </row>
    <row r="58" spans="1:1" x14ac:dyDescent="0.25">
      <c r="A58" t="s">
        <v>53</v>
      </c>
    </row>
    <row r="59" spans="1:1" x14ac:dyDescent="0.25">
      <c r="A59" t="s">
        <v>174</v>
      </c>
    </row>
    <row r="60" spans="1:1" x14ac:dyDescent="0.25">
      <c r="A60" t="s">
        <v>336</v>
      </c>
    </row>
    <row r="61" spans="1:1" x14ac:dyDescent="0.25">
      <c r="A61" s="1" t="s">
        <v>346</v>
      </c>
    </row>
    <row r="62" spans="1:1" x14ac:dyDescent="0.25">
      <c r="A62" t="s">
        <v>224</v>
      </c>
    </row>
    <row r="63" spans="1:1" x14ac:dyDescent="0.25">
      <c r="A63" t="s">
        <v>319</v>
      </c>
    </row>
    <row r="64" spans="1:1" x14ac:dyDescent="0.25">
      <c r="A64" t="s">
        <v>167</v>
      </c>
    </row>
    <row r="65" spans="1:1" x14ac:dyDescent="0.25">
      <c r="A65" t="s">
        <v>310</v>
      </c>
    </row>
    <row r="66" spans="1:1" x14ac:dyDescent="0.25">
      <c r="A66" t="s">
        <v>148</v>
      </c>
    </row>
    <row r="69" spans="1:1" x14ac:dyDescent="0.25">
      <c r="A69" t="s">
        <v>320</v>
      </c>
    </row>
    <row r="70" spans="1:1" x14ac:dyDescent="0.25">
      <c r="A70" t="s">
        <v>53</v>
      </c>
    </row>
    <row r="71" spans="1:1" x14ac:dyDescent="0.25">
      <c r="A71" t="s">
        <v>174</v>
      </c>
    </row>
    <row r="72" spans="1:1" x14ac:dyDescent="0.25">
      <c r="A72" t="s">
        <v>167</v>
      </c>
    </row>
    <row r="73" spans="1:1" x14ac:dyDescent="0.25">
      <c r="A73" t="s">
        <v>336</v>
      </c>
    </row>
    <row r="74" spans="1:1" x14ac:dyDescent="0.25">
      <c r="A74" t="s">
        <v>344</v>
      </c>
    </row>
    <row r="75" spans="1:1" x14ac:dyDescent="0.25">
      <c r="A75" t="s">
        <v>337</v>
      </c>
    </row>
    <row r="76" spans="1:1" x14ac:dyDescent="0.25">
      <c r="A76" t="s">
        <v>345</v>
      </c>
    </row>
    <row r="77" spans="1:1" x14ac:dyDescent="0.25">
      <c r="A77" t="s">
        <v>210</v>
      </c>
    </row>
    <row r="78" spans="1:1" x14ac:dyDescent="0.25">
      <c r="A78" t="s">
        <v>39</v>
      </c>
    </row>
    <row r="79" spans="1:1" x14ac:dyDescent="0.25">
      <c r="A79" t="s">
        <v>225</v>
      </c>
    </row>
    <row r="80" spans="1:1" x14ac:dyDescent="0.25">
      <c r="A80" t="s">
        <v>228</v>
      </c>
    </row>
    <row r="81" spans="1:1" x14ac:dyDescent="0.25">
      <c r="A81" t="s">
        <v>135</v>
      </c>
    </row>
    <row r="82" spans="1:1" x14ac:dyDescent="0.25">
      <c r="A82" t="s">
        <v>88</v>
      </c>
    </row>
    <row r="83" spans="1:1" x14ac:dyDescent="0.25">
      <c r="A83" t="s">
        <v>67</v>
      </c>
    </row>
    <row r="84" spans="1:1" x14ac:dyDescent="0.25">
      <c r="A84" t="s">
        <v>200</v>
      </c>
    </row>
    <row r="85" spans="1:1" x14ac:dyDescent="0.25">
      <c r="A85" t="s">
        <v>55</v>
      </c>
    </row>
    <row r="86" spans="1:1" x14ac:dyDescent="0.25">
      <c r="A86" t="s">
        <v>73</v>
      </c>
    </row>
    <row r="87" spans="1:1" x14ac:dyDescent="0.25">
      <c r="A87" t="s">
        <v>154</v>
      </c>
    </row>
    <row r="91" spans="1:1" x14ac:dyDescent="0.25">
      <c r="A91" t="s">
        <v>321</v>
      </c>
    </row>
    <row r="92" spans="1:1" x14ac:dyDescent="0.25">
      <c r="A92" t="s">
        <v>190</v>
      </c>
    </row>
    <row r="93" spans="1:1" x14ac:dyDescent="0.25">
      <c r="A93" t="s">
        <v>232</v>
      </c>
    </row>
    <row r="94" spans="1:1" x14ac:dyDescent="0.25">
      <c r="A94" t="s">
        <v>168</v>
      </c>
    </row>
    <row r="95" spans="1:1" x14ac:dyDescent="0.25">
      <c r="A95" t="s">
        <v>181</v>
      </c>
    </row>
    <row r="96" spans="1:1" x14ac:dyDescent="0.25">
      <c r="A96" t="s">
        <v>214</v>
      </c>
    </row>
    <row r="97" spans="1:1" x14ac:dyDescent="0.25">
      <c r="A97" t="s">
        <v>202</v>
      </c>
    </row>
    <row r="98" spans="1:1" x14ac:dyDescent="0.25">
      <c r="A98" t="s">
        <v>219</v>
      </c>
    </row>
    <row r="99" spans="1:1" x14ac:dyDescent="0.25">
      <c r="A99" t="s">
        <v>177</v>
      </c>
    </row>
    <row r="100" spans="1:1" x14ac:dyDescent="0.25">
      <c r="A100" t="s">
        <v>341</v>
      </c>
    </row>
    <row r="104" spans="1:1" x14ac:dyDescent="0.25">
      <c r="A104" t="s">
        <v>322</v>
      </c>
    </row>
    <row r="105" spans="1:1" x14ac:dyDescent="0.25">
      <c r="A105" t="s">
        <v>169</v>
      </c>
    </row>
    <row r="106" spans="1:1" x14ac:dyDescent="0.25">
      <c r="A106" t="s">
        <v>191</v>
      </c>
    </row>
    <row r="107" spans="1:1" x14ac:dyDescent="0.25">
      <c r="A107" t="s">
        <v>39</v>
      </c>
    </row>
    <row r="108" spans="1:1" x14ac:dyDescent="0.25">
      <c r="A108" t="s">
        <v>230</v>
      </c>
    </row>
    <row r="109" spans="1:1" x14ac:dyDescent="0.25">
      <c r="A109" t="s">
        <v>195</v>
      </c>
    </row>
    <row r="110" spans="1:1" x14ac:dyDescent="0.25">
      <c r="A110" t="s">
        <v>220</v>
      </c>
    </row>
    <row r="111" spans="1:1" x14ac:dyDescent="0.25">
      <c r="A111" t="s">
        <v>198</v>
      </c>
    </row>
    <row r="114" spans="1:1" x14ac:dyDescent="0.25">
      <c r="A114" t="s">
        <v>323</v>
      </c>
    </row>
    <row r="115" spans="1:1" x14ac:dyDescent="0.25">
      <c r="A115" t="s">
        <v>324</v>
      </c>
    </row>
    <row r="116" spans="1:1" x14ac:dyDescent="0.25">
      <c r="A116" t="s">
        <v>325</v>
      </c>
    </row>
    <row r="117" spans="1:1" x14ac:dyDescent="0.25">
      <c r="A117" t="s">
        <v>326</v>
      </c>
    </row>
    <row r="118" spans="1:1" x14ac:dyDescent="0.25">
      <c r="A118" t="s">
        <v>327</v>
      </c>
    </row>
    <row r="119" spans="1:1" x14ac:dyDescent="0.25">
      <c r="A119" t="s">
        <v>328</v>
      </c>
    </row>
    <row r="120" spans="1:1" ht="30" x14ac:dyDescent="0.25">
      <c r="A120" s="1" t="s">
        <v>329</v>
      </c>
    </row>
  </sheetData>
  <pageMargins left="0.7" right="0.7" top="0.78740157499999996" bottom="0.78740157499999996" header="0.3" footer="0.3"/>
  <tableParts count="10">
    <tablePart r:id="rId1"/>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sheetViews>
    <sheetView workbookViewId="0"/>
  </sheetViews>
  <sheetFormatPr defaultRowHeight="15"/>
  <cols>
    <col min="1" max="1" width="48" customWidth="1"/>
    <col min="2" max="2" width="10" customWidth="1"/>
    <col min="3" max="3" width="90" customWidth="1"/>
  </cols>
  <sheetData>
    <row r="1" ht="24" customHeight="1">
      <c r="A1" s="544" t="inlineStr">
        <is>
          <t xml:space="preserve">Abgleich Kommunikationsmatrix („Wünsch-dir-was“-Papier) mit dem GF-Kalender 2027</t>
        </is>
      </c>
    </row>
    <row r="2" ht="30" customHeight="1">
      <c r="A2" s="543" t="inlineStr">
        <is>
          <t xml:space="preserve">Die Befunde stehen im Blatt „Kommunikationsmatrix“ in den Spalten K bis P (neben jeder Zeile). Kalenderwerte: Jahreskalender 2027 (index.html, Stand Merge PR #6). Die Zählung unten rechnet live aus Spalte K und P.</t>
        </is>
      </c>
    </row>
    <row r="3"/>
    <row r="4">
      <c r="A4" s="542" t="inlineStr">
        <is>
          <t xml:space="preserve">Befund</t>
        </is>
      </c>
      <c r="B4" s="542" t="inlineStr">
        <is>
          <t xml:space="preserve">Anzahl</t>
        </is>
      </c>
      <c r="C4" s="542" t="inlineStr">
        <is>
          <t xml:space="preserve">Bedeutung</t>
        </is>
      </c>
    </row>
    <row r="5">
      <c r="A5" s="546" t="inlineStr">
        <is>
          <t xml:space="preserve">kongruent</t>
        </is>
      </c>
      <c r="B5" s="543">
        <f>COUNTIF(Kommunikationsmatrix!$K$2:$K$201,"kongruent")</f>
        <v>11</v>
      </c>
      <c r="C5" s="543" t="inlineStr">
        <is>
          <t xml:space="preserve">Dauer und Rhythmus von Matrix und Kalender stimmen überein</t>
        </is>
      </c>
    </row>
    <row r="6">
      <c r="A6" s="547" t="inlineStr">
        <is>
          <t xml:space="preserve">abweichend</t>
        </is>
      </c>
      <c r="B6" s="543">
        <f>COUNTIF(Kommunikationsmatrix!$K$2:$K$201,"abweichend")</f>
        <v>6</v>
      </c>
      <c r="C6" s="543" t="inlineStr">
        <is>
          <t xml:space="preserve">Dauer, Rhythmus oder GF-Beteiligung weichen ab (Spalte O)</t>
        </is>
      </c>
    </row>
    <row r="7">
      <c r="A7" s="548" t="inlineStr">
        <is>
          <t xml:space="preserve">fehlt im Kalender</t>
        </is>
      </c>
      <c r="B7" s="543">
        <f>COUNTIF(Kommunikationsmatrix!$K$2:$K$201,"fehlt im Kalender")</f>
        <v>5</v>
      </c>
      <c r="C7" s="543" t="inlineStr">
        <is>
          <t xml:space="preserve">Format mit GF-Beteiligung steht in der Matrix, aber nicht im Kalender</t>
        </is>
      </c>
    </row>
    <row r="8">
      <c r="A8" s="549" t="inlineStr">
        <is>
          <t xml:space="preserve">Fritsch: gestrichen</t>
        </is>
      </c>
      <c r="B8" s="543">
        <f>COUNTIF(Kommunikationsmatrix!$K$2:$K$201,"Fritsch: gestrichen")</f>
        <v>2</v>
      </c>
      <c r="C8" s="543" t="inlineStr">
        <is>
          <t xml:space="preserve">laut Korrektur gestrichen (Kalender führt es als gestrichen)</t>
        </is>
      </c>
    </row>
    <row r="9">
      <c r="A9" s="551" t="inlineStr">
        <is>
          <t xml:space="preserve">zu klären</t>
        </is>
      </c>
      <c r="B9" s="543">
        <f>COUNTIF(Kommunikationsmatrix!$K$2:$K$201,"zu klären")</f>
        <v>5</v>
      </c>
      <c r="C9" s="543" t="inlineStr">
        <is>
          <t xml:space="preserve">Zuordnung zwischen Matrix und Kalender unsicher oder Abgleich offen</t>
        </is>
      </c>
    </row>
    <row r="10">
      <c r="A10" s="550" t="inlineStr">
        <is>
          <t xml:space="preserve">ohne GF</t>
        </is>
      </c>
      <c r="B10" s="543">
        <f>COUNTIF(Kommunikationsmatrix!$K$2:$K$201,"ohne GF")</f>
        <v>14</v>
      </c>
      <c r="C10" s="543" t="inlineStr">
        <is>
          <t xml:space="preserve">Format ohne GF-Beteiligung, im GF-Kalender nicht erwartet</t>
        </is>
      </c>
    </row>
    <row r="11">
      <c r="A11" s="552" t="inlineStr">
        <is>
          <t xml:space="preserve">nur im Kalender</t>
        </is>
      </c>
      <c r="B11" s="543">
        <v>23</v>
      </c>
      <c r="C11" s="543" t="inlineStr">
        <is>
          <t xml:space="preserve">Kalenderformate ohne Zeile in der Matrix (Tabelle unten)</t>
        </is>
      </c>
    </row>
    <row r="12"/>
    <row r="13">
      <c r="A13" s="542" t="inlineStr">
        <is>
          <t xml:space="preserve">Entscheidung Fritsch</t>
        </is>
      </c>
      <c r="B13" s="542" t="inlineStr">
        <is>
          <t xml:space="preserve">Anzahl</t>
        </is>
      </c>
      <c r="C13" s="542" t="inlineStr">
        <is>
          <t xml:space="preserve">Hinweis</t>
        </is>
      </c>
    </row>
    <row r="14">
      <c r="A14" s="543" t="inlineStr">
        <is>
          <t xml:space="preserve">nicht gewünscht (Fritsch)</t>
        </is>
      </c>
      <c r="B14" s="543">
        <f>COUNTIF(Kommunikationsmatrix!$P$2:$P$201,"nicht gewünscht (Fritsch)")</f>
        <v>2</v>
      </c>
      <c r="C14" s="543" t="inlineStr">
        <is>
          <t xml:space="preserve">von Fritsch nicht gewünscht – Spalte P filtern</t>
        </is>
      </c>
    </row>
    <row r="15">
      <c r="A15" s="543" t="inlineStr">
        <is>
          <t xml:space="preserve">Kalender-Wert gilt (Fritsch)</t>
        </is>
      </c>
      <c r="B15" s="543">
        <f>COUNTIF(Kommunikationsmatrix!$P$2:$P$201,"Kalender-Wert gilt (Fritsch)")</f>
        <v>6</v>
      </c>
      <c r="C15" s="543" t="inlineStr">
        <is>
          <t xml:space="preserve">Wunsch der Matrix wird nicht übernommen, der Kalender gibt die Vorgabe der GF wieder</t>
        </is>
      </c>
    </row>
    <row r="16">
      <c r="A16" s="543" t="inlineStr">
        <is>
          <t xml:space="preserve">Matrix gilt</t>
        </is>
      </c>
      <c r="B16" s="543">
        <f>COUNTIF(Kommunikationsmatrix!$P$2:$P$201,"Matrix gilt")</f>
        <v>0</v>
      </c>
      <c r="C16" s="543" t="inlineStr">
        <is>
          <t xml:space="preserve">Wunsch der Matrix wird in den Kalender übernommen</t>
        </is>
      </c>
    </row>
    <row r="17">
      <c r="A17" s="543" t="inlineStr">
        <is>
          <t xml:space="preserve">offen</t>
        </is>
      </c>
      <c r="B17" s="543">
        <f>COUNTIF(Kommunikationsmatrix!$P$2:$P$201,"offen")</f>
        <v>10</v>
      </c>
      <c r="C17" s="543" t="inlineStr">
        <is>
          <t xml:space="preserve">noch nicht entschieden</t>
        </is>
      </c>
    </row>
    <row r="18"/>
    <row r="19">
      <c r="A19" s="544" t="inlineStr">
        <is>
          <t xml:space="preserve">Im Kalender, aber nicht in der Kommunikationsmatrix (Ergänzung der Matrix prüfen)</t>
        </is>
      </c>
    </row>
    <row r="20">
      <c r="A20" s="542" t="inlineStr">
        <is>
          <t xml:space="preserve">Format im Kalender</t>
        </is>
      </c>
      <c r="B20" s="542" t="inlineStr">
        <is>
          <t xml:space="preserve">Termine</t>
        </is>
      </c>
      <c r="C20" s="542" t="inlineStr">
        <is>
          <t xml:space="preserve">Dauer · Rhythmus</t>
        </is>
      </c>
    </row>
    <row r="21">
      <c r="A21" s="552" t="inlineStr">
        <is>
          <t xml:space="preserve">AG Wohlfahrt Bochum</t>
        </is>
      </c>
      <c r="B21" s="543">
        <v>8</v>
      </c>
      <c r="C21" s="543" t="inlineStr">
        <is>
          <t xml:space="preserve">90 Min. · 8x jährlich</t>
        </is>
      </c>
    </row>
    <row r="22">
      <c r="A22" s="552" t="inlineStr">
        <is>
          <t xml:space="preserve">ASA (Team-Termin)</t>
        </is>
      </c>
      <c r="B22" s="543">
        <v>2</v>
      </c>
      <c r="C22" s="543" t="inlineStr">
        <is>
          <t xml:space="preserve">2 Std. · 2x jährlich</t>
        </is>
      </c>
    </row>
    <row r="23">
      <c r="A23" s="552" t="inlineStr">
        <is>
          <t xml:space="preserve">Anreise Steuerkreis-Tag</t>
        </is>
      </c>
      <c r="B23" s="543">
        <v>14</v>
      </c>
      <c r="C23" s="543" t="inlineStr">
        <is>
          <t xml:space="preserve">— · offen</t>
        </is>
      </c>
    </row>
    <row r="24">
      <c r="A24" s="552" t="inlineStr">
        <is>
          <t xml:space="preserve">Erweiterte Konzernleitung (eKL)</t>
        </is>
      </c>
      <c r="B24" s="543">
        <v>10</v>
      </c>
      <c r="C24" s="543" t="inlineStr">
        <is>
          <t xml:space="preserve">3 Std. · monatlich</t>
        </is>
      </c>
    </row>
    <row r="25">
      <c r="A25" s="552" t="inlineStr">
        <is>
          <t xml:space="preserve">Externe Gremien IM / Stadt</t>
        </is>
      </c>
      <c r="B25" s="543">
        <v>6</v>
      </c>
      <c r="C25" s="543" t="inlineStr">
        <is>
          <t xml:space="preserve">90 Min. / 3 Std. · unregelmäßig</t>
        </is>
      </c>
    </row>
    <row r="26">
      <c r="A26" s="552" t="inlineStr">
        <is>
          <t xml:space="preserve">Fokuszeit-Blocker (Fr)</t>
        </is>
      </c>
      <c r="B26" s="543">
        <v>39</v>
      </c>
      <c r="C26" s="543" t="inlineStr">
        <is>
          <t xml:space="preserve">2 Std. · wöchentlich</t>
        </is>
      </c>
    </row>
    <row r="27">
      <c r="A27" s="552" t="inlineStr">
        <is>
          <t xml:space="preserve">Fokuszeit-Blocker (Mo)</t>
        </is>
      </c>
      <c r="B27" s="543">
        <v>42</v>
      </c>
      <c r="C27" s="543" t="inlineStr">
        <is>
          <t xml:space="preserve">90 Min. · wöchentlich</t>
        </is>
      </c>
    </row>
    <row r="28">
      <c r="A28" s="552" t="inlineStr">
        <is>
          <t xml:space="preserve">Gesellschafter / AR</t>
        </is>
      </c>
      <c r="B28" s="543">
        <v>9</v>
      </c>
      <c r="C28" s="543" t="inlineStr">
        <is>
          <t xml:space="preserve">2 Std. / 3 Std. · 2-3x jährlich</t>
        </is>
      </c>
    </row>
    <row r="29">
      <c r="A29" s="552" t="inlineStr">
        <is>
          <t xml:space="preserve">Hospitation nach Leitungskonferenz</t>
        </is>
      </c>
      <c r="B29" s="543">
        <v>2</v>
      </c>
      <c r="C29" s="543" t="inlineStr">
        <is>
          <t xml:space="preserve">— · offen</t>
        </is>
      </c>
    </row>
    <row r="30">
      <c r="A30" s="552" t="inlineStr">
        <is>
          <t xml:space="preserve">Hospitationsblocker vor Ort</t>
        </is>
      </c>
      <c r="B30" s="543">
        <v>14</v>
      </c>
      <c r="C30" s="543" t="inlineStr">
        <is>
          <t xml:space="preserve">— · offen</t>
        </is>
      </c>
    </row>
    <row r="31">
      <c r="A31" s="552" t="inlineStr">
        <is>
          <t xml:space="preserve">IMK</t>
        </is>
      </c>
      <c r="B31" s="543">
        <v>6</v>
      </c>
      <c r="C31" s="543" t="inlineStr">
        <is>
          <t xml:space="preserve">3 Std. · 6x jährlich</t>
        </is>
      </c>
    </row>
    <row r="32">
      <c r="A32" s="552" t="inlineStr">
        <is>
          <t xml:space="preserve">JF Jahndorf</t>
        </is>
      </c>
      <c r="B32" s="543">
        <v>7</v>
      </c>
      <c r="C32" s="543" t="inlineStr">
        <is>
          <t xml:space="preserve">100 Min. · alle 8 Wochen</t>
        </is>
      </c>
    </row>
    <row r="33">
      <c r="A33" s="552" t="inlineStr">
        <is>
          <t xml:space="preserve">JF Machleit Ebner</t>
        </is>
      </c>
      <c r="B33" s="543">
        <v>4</v>
      </c>
      <c r="C33" s="543" t="inlineStr">
        <is>
          <t xml:space="preserve">50 Min. · quartalsweise</t>
        </is>
      </c>
    </row>
    <row r="34">
      <c r="A34" s="552" t="inlineStr">
        <is>
          <t xml:space="preserve">JF Partner (Di)</t>
        </is>
      </c>
      <c r="B34" s="543">
        <v>116</v>
      </c>
      <c r="C34" s="543" t="inlineStr">
        <is>
          <t xml:space="preserve">50 Min. · monatlich</t>
        </is>
      </c>
    </row>
    <row r="35">
      <c r="A35" s="552" t="inlineStr">
        <is>
          <t xml:space="preserve">Klausur Strategie</t>
        </is>
      </c>
      <c r="B35" s="543">
        <v>4</v>
      </c>
      <c r="C35" s="543" t="inlineStr">
        <is>
          <t xml:space="preserve">4 Std. / 8 Std. · halbjährlich</t>
        </is>
      </c>
    </row>
    <row r="36">
      <c r="A36" s="552" t="inlineStr">
        <is>
          <t xml:space="preserve">Leistungsklausur Sozialwirtschaft</t>
        </is>
      </c>
      <c r="B36" s="543">
        <v>4</v>
      </c>
      <c r="C36" s="543" t="inlineStr">
        <is>
          <t xml:space="preserve">6 Std. / 9 Std. · 2x jährlich</t>
        </is>
      </c>
    </row>
    <row r="37">
      <c r="A37" s="552" t="inlineStr">
        <is>
          <t xml:space="preserve">Leitungskonferenz Sozialwirtschaft</t>
        </is>
      </c>
      <c r="B37" s="543">
        <v>10</v>
      </c>
      <c r="C37" s="543" t="inlineStr">
        <is>
          <t xml:space="preserve">2 Std. · monatlich</t>
        </is>
      </c>
    </row>
    <row r="38">
      <c r="A38" s="552" t="inlineStr">
        <is>
          <t xml:space="preserve">Projektarbeit-Blocker GF</t>
        </is>
      </c>
      <c r="B38" s="543">
        <v>44</v>
      </c>
      <c r="C38" s="543" t="inlineStr">
        <is>
          <t xml:space="preserve">2 Std. · wöchentlich</t>
        </is>
      </c>
    </row>
    <row r="39">
      <c r="A39" s="552" t="inlineStr">
        <is>
          <t xml:space="preserve">Pufferslot Gremien</t>
        </is>
      </c>
      <c r="B39" s="543">
        <v>11</v>
      </c>
      <c r="C39" s="543" t="inlineStr">
        <is>
          <t xml:space="preserve">90 Min. · monatlich</t>
        </is>
      </c>
    </row>
    <row r="40">
      <c r="A40" s="552" t="inlineStr">
        <is>
          <t xml:space="preserve">Steuerungsgruppe Digitalisierung DR</t>
        </is>
      </c>
      <c r="B40" s="543">
        <v>4</v>
      </c>
      <c r="C40" s="543" t="inlineStr">
        <is>
          <t xml:space="preserve">1 Std. · quartalsweise</t>
        </is>
      </c>
    </row>
    <row r="41">
      <c r="A41" s="552" t="inlineStr">
        <is>
          <t xml:space="preserve">Steuerungsgruppe Personal</t>
        </is>
      </c>
      <c r="B41" s="543">
        <v>4</v>
      </c>
      <c r="C41" s="543" t="inlineStr">
        <is>
          <t xml:space="preserve">3 Std. · quartalsweise</t>
        </is>
      </c>
    </row>
    <row r="42">
      <c r="A42" s="552" t="inlineStr">
        <is>
          <t xml:space="preserve">Steuerungsgruppe UK DR</t>
        </is>
      </c>
      <c r="B42" s="543">
        <v>4</v>
      </c>
      <c r="C42" s="543" t="inlineStr">
        <is>
          <t xml:space="preserve">3 Std. · quartalsweise</t>
        </is>
      </c>
    </row>
    <row r="43">
      <c r="A43" s="552" t="inlineStr">
        <is>
          <t xml:space="preserve">Verwaltungsrat IM</t>
        </is>
      </c>
      <c r="B43" s="543">
        <v>4</v>
      </c>
      <c r="C43" s="543" t="inlineStr">
        <is>
          <t xml:space="preserve">90 Min. · 4x jährlich</t>
        </is>
      </c>
    </row>
  </sheetData>
  <mergeCells count="1">
    <mergeCell ref="A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4DED0B18449A9F44B60563CC8336F3BE" ma:contentTypeVersion="10" ma:contentTypeDescription="Ein neues Dokument erstellen." ma:contentTypeScope="" ma:versionID="aabdf53ec4797f82230e87e93b1a05ca">
  <xsd:schema xmlns:xsd="http://www.w3.org/2001/XMLSchema" xmlns:xs="http://www.w3.org/2001/XMLSchema" xmlns:p="http://schemas.microsoft.com/office/2006/metadata/properties" xmlns:ns2="88d923ff-73bc-4142-aa26-336fb80aaaa2" targetNamespace="http://schemas.microsoft.com/office/2006/metadata/properties" ma:root="true" ma:fieldsID="bfecce5c19e6232ae727d95810e4a855" ns2:_="">
    <xsd:import namespace="88d923ff-73bc-4142-aa26-336fb80aaa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ProjektNr_x002e__x003a_"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d923ff-73bc-4142-aa26-336fb80aaa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75ec4877-7d1b-4d20-af40-148dff6bb6ca"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ProjektNr_x002e__x003a_" ma:index="16" nillable="true" ma:displayName="Projekt Nr.:" ma:format="Dropdown" ma:internalName="ProjektNr_x002e__x003a_" ma:percentage="FALSE">
      <xsd:simpleType>
        <xsd:restriction base="dms:Number"/>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ktNr_x002e__x003a_ xmlns="88d923ff-73bc-4142-aa26-336fb80aaaa2" xsi:nil="true"/>
    <lcf76f155ced4ddcb4097134ff3c332f xmlns="88d923ff-73bc-4142-aa26-336fb80aaaa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E7AE30-2910-4BE8-966A-2CEED6C13EE0}">
  <ds:schemaRefs>
    <ds:schemaRef ds:uri="http://schemas.microsoft.com/sharepoint/v3/contenttype/forms"/>
  </ds:schemaRefs>
</ds:datastoreItem>
</file>

<file path=customXml/itemProps2.xml><?xml version="1.0" encoding="utf-8"?>
<ds:datastoreItem xmlns:ds="http://schemas.openxmlformats.org/officeDocument/2006/customXml" ds:itemID="{C7A0074D-AB45-46FE-B1BE-1E8F5A64DA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d923ff-73bc-4142-aa26-336fb80aaa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65E388-113A-4F0F-86CA-78F38A0AD192}">
  <ds:schemaRefs>
    <ds:schemaRef ds:uri="http://schemas.microsoft.com/office/2006/metadata/properties"/>
    <ds:schemaRef ds:uri="http://schemas.microsoft.com/office/infopath/2007/PartnerControls"/>
    <ds:schemaRef ds:uri="88d923ff-73bc-4142-aa26-336fb80aaaa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5</vt:i4>
      </vt:variant>
    </vt:vector>
  </HeadingPairs>
  <TitlesOfParts>
    <vt:vector size="10" baseType="lpstr">
      <vt:lpstr>Anleitung</vt:lpstr>
      <vt:lpstr>Entscheidungssituationen</vt:lpstr>
      <vt:lpstr>Kommunikationsmatrix</vt:lpstr>
      <vt:lpstr>Tabelle1</vt:lpstr>
      <vt:lpstr>Abgleich Zusammenfassung</vt:lpstr>
      <vt:lpstr>Kommunikationsmatrix!Druckbereich</vt:lpstr>
      <vt:lpstr>Entscheidungssituationen!Drucktitel</vt:lpstr>
      <vt:lpstr>Kommunikationsmatrix!Drucktitel</vt:lpstr>
      <vt:lpstr>TeilnehmerAuswahl</vt:lpstr>
      <vt:lpstr>TerminfrequenzAuswahl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Merino-Kesting, Sandra</dc:creator>
  <cp:keywords/>
  <dc:description/>
  <cp:lastModifiedBy>Merino-Kesting, Sandra</cp:lastModifiedBy>
  <cp:revision/>
  <dcterms:created xsi:type="dcterms:W3CDTF">2015-06-05T18:19:34Z</dcterms:created>
  <dcterms:modified xsi:type="dcterms:W3CDTF">2026-10-09T05:44:44Z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0x0101004DED0B18449A9F44B60563CC8336F3BE</vt:lpwstr>
  </property>
  <property fmtid="{D5CDD505-2E9C-101B-9397-08002B2CF9AE}" pid="3" name="MediaServiceImageTags">
    <vt:lpwstr/>
  </property>
</Properties>
</file>